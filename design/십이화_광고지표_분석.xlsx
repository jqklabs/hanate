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요약" sheetId="1" state="visible" r:id="rId3"/>
    <sheet name="2_캠페인실적" sheetId="2" state="visible" r:id="rId4"/>
    <sheet name="3_퍼널" sheetId="3" state="visible" r:id="rId5"/>
    <sheet name="4_Firebase일별" sheetId="4" state="visible" r:id="rId6"/>
    <sheet name="5_리텐션" sheetId="5" state="visible" r:id="rId7"/>
    <sheet name="6_애셋성과" sheetId="6" state="visible" r:id="rId8"/>
    <sheet name="7_애셋상태점검" sheetId="7" state="visible" r:id="rId9"/>
    <sheet name="8_메시지분석" sheetId="8" state="visible" r:id="rId10"/>
    <sheet name="9_액션플랜" sheetId="9" state="visible" r:id="rId11"/>
    <sheet name="0_가정및출처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<sst xmlns="http://schemas.openxmlformats.org/spreadsheetml/2006/main" count="394" uniqueCount="288">
  <si>
    <r>
      <rPr>
        <b val="true"/>
        <sz val="15"/>
        <color rgb="FF1F2937"/>
        <rFont val="Noto Sans CJK SC"/>
        <family val="2"/>
      </rPr>
      <t xml:space="preserve">십이화</t>
    </r>
    <r>
      <rPr>
        <b val="true"/>
        <sz val="15"/>
        <color rgb="FF1F2937"/>
        <rFont val="Arial"/>
        <family val="0"/>
        <charset val="1"/>
      </rPr>
      <t xml:space="preserve">(Hwatro) </t>
    </r>
    <r>
      <rPr>
        <b val="true"/>
        <sz val="15"/>
        <color rgb="FF1F2937"/>
        <rFont val="Noto Sans CJK SC"/>
        <family val="2"/>
      </rPr>
      <t xml:space="preserve">광고</t>
    </r>
    <r>
      <rPr>
        <b val="true"/>
        <sz val="15"/>
        <color rgb="FF1F2937"/>
        <rFont val="Arial"/>
        <family val="0"/>
        <charset val="1"/>
      </rPr>
      <t xml:space="preserve">·</t>
    </r>
    <r>
      <rPr>
        <b val="true"/>
        <sz val="15"/>
        <color rgb="FF1F2937"/>
        <rFont val="Noto Sans CJK SC"/>
        <family val="2"/>
      </rPr>
      <t xml:space="preserve">지표 분석 요약</t>
    </r>
  </si>
  <si>
    <r>
      <rPr>
        <i val="true"/>
        <sz val="9"/>
        <color rgb="FF6B7280"/>
        <rFont val="Noto Sans CJK SC"/>
        <family val="2"/>
      </rPr>
      <t xml:space="preserve">집계기간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광고 </t>
    </r>
    <r>
      <rPr>
        <i val="true"/>
        <sz val="9"/>
        <color rgb="FF6B7280"/>
        <rFont val="Arial"/>
        <family val="0"/>
        <charset val="1"/>
      </rPr>
      <t xml:space="preserve">2026.08.07~08.12 / Firebase 2026.07.15~08.11 · </t>
    </r>
    <r>
      <rPr>
        <i val="true"/>
        <sz val="9"/>
        <color rgb="FF6B7280"/>
        <rFont val="Noto Sans CJK SC"/>
        <family val="2"/>
      </rPr>
      <t xml:space="preserve">통화 </t>
    </r>
    <r>
      <rPr>
        <i val="true"/>
        <sz val="9"/>
        <color rgb="FF6B7280"/>
        <rFont val="Arial"/>
        <family val="0"/>
        <charset val="1"/>
      </rPr>
      <t xml:space="preserve">KRW</t>
    </r>
  </si>
  <si>
    <r>
      <rPr>
        <b val="true"/>
        <sz val="11"/>
        <color rgb="FFB42318"/>
        <rFont val="Noto Sans CJK SC"/>
        <family val="2"/>
      </rPr>
      <t xml:space="preserve">핵심 결론</t>
    </r>
    <r>
      <rPr>
        <b val="true"/>
        <sz val="11"/>
        <color rgb="FFB42318"/>
        <rFont val="Arial"/>
        <family val="0"/>
        <charset val="1"/>
      </rPr>
      <t xml:space="preserve">: </t>
    </r>
    <r>
      <rPr>
        <b val="true"/>
        <sz val="11"/>
        <color rgb="FFB42318"/>
        <rFont val="Noto Sans CJK SC"/>
        <family val="2"/>
      </rPr>
      <t xml:space="preserve">광고 소재는 검증되었고</t>
    </r>
    <r>
      <rPr>
        <b val="true"/>
        <sz val="11"/>
        <color rgb="FFB42318"/>
        <rFont val="Arial"/>
        <family val="0"/>
        <charset val="1"/>
      </rPr>
      <t xml:space="preserve">(CTR 7.4%), </t>
    </r>
    <r>
      <rPr>
        <b val="true"/>
        <sz val="11"/>
        <color rgb="FFB42318"/>
        <rFont val="Noto Sans CJK SC"/>
        <family val="2"/>
      </rPr>
      <t xml:space="preserve">문제는 클릭 이후 </t>
    </r>
    <r>
      <rPr>
        <b val="true"/>
        <sz val="11"/>
        <color rgb="FFB42318"/>
        <rFont val="Arial"/>
        <family val="0"/>
        <charset val="1"/>
      </rPr>
      <t xml:space="preserve">6</t>
    </r>
    <r>
      <rPr>
        <b val="true"/>
        <sz val="11"/>
        <color rgb="FFB42318"/>
        <rFont val="Noto Sans CJK SC"/>
        <family val="2"/>
      </rPr>
      <t xml:space="preserve">초 구간입니다</t>
    </r>
    <r>
      <rPr>
        <b val="true"/>
        <sz val="11"/>
        <color rgb="FFB42318"/>
        <rFont val="Arial"/>
        <family val="0"/>
        <charset val="1"/>
      </rPr>
      <t xml:space="preserve">.</t>
    </r>
  </si>
  <si>
    <t xml:space="preserve">지표</t>
  </si>
  <si>
    <t xml:space="preserve">값</t>
  </si>
  <si>
    <r>
      <rPr>
        <b val="true"/>
        <sz val="11"/>
        <color rgb="FFFFFFFF"/>
        <rFont val="Noto Sans CJK SC"/>
        <family val="2"/>
      </rPr>
      <t xml:space="preserve">벤치마크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판단</t>
    </r>
  </si>
  <si>
    <t xml:space="preserve">상태</t>
  </si>
  <si>
    <t xml:space="preserve">노출수</t>
  </si>
  <si>
    <t xml:space="preserve">—</t>
  </si>
  <si>
    <t xml:space="preserve">-</t>
  </si>
  <si>
    <t xml:space="preserve">클릭수</t>
  </si>
  <si>
    <t xml:space="preserve">CTR</t>
  </si>
  <si>
    <r>
      <rPr>
        <sz val="10"/>
        <rFont val="Noto Sans CJK SC"/>
        <family val="2"/>
      </rPr>
      <t xml:space="preserve">디스플레이 통상 </t>
    </r>
    <r>
      <rPr>
        <sz val="10"/>
        <rFont val="Arial"/>
        <family val="0"/>
        <charset val="1"/>
      </rPr>
      <t xml:space="preserve">0.5~1%</t>
    </r>
  </si>
  <si>
    <r>
      <rPr>
        <sz val="10"/>
        <rFont val="Noto Sans CJK SC"/>
        <family val="2"/>
      </rPr>
      <t xml:space="preserve">과다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오클릭 의심</t>
    </r>
    <r>
      <rPr>
        <sz val="10"/>
        <rFont val="Arial"/>
        <family val="0"/>
        <charset val="1"/>
      </rPr>
      <t xml:space="preserve">)</t>
    </r>
  </si>
  <si>
    <t xml:space="preserve">총 비용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</si>
  <si>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일평균 약 </t>
    </r>
    <r>
      <rPr>
        <sz val="10"/>
        <rFont val="Arial"/>
        <family val="0"/>
        <charset val="1"/>
      </rPr>
      <t xml:space="preserve">10,400</t>
    </r>
    <r>
      <rPr>
        <sz val="10"/>
        <rFont val="Noto Sans CJK SC"/>
        <family val="2"/>
      </rPr>
      <t xml:space="preserve">원</t>
    </r>
  </si>
  <si>
    <t xml:space="preserve">CPC</t>
  </si>
  <si>
    <t xml:space="preserve">양호</t>
  </si>
  <si>
    <t xml:space="preserve">CPM</t>
  </si>
  <si>
    <r>
      <rPr>
        <sz val="10"/>
        <rFont val="Noto Sans CJK SC"/>
        <family val="2"/>
      </rPr>
      <t xml:space="preserve">국내 디스플레이 통상 </t>
    </r>
    <r>
      <rPr>
        <sz val="10"/>
        <rFont val="Arial"/>
        <family val="0"/>
        <charset val="1"/>
      </rPr>
      <t xml:space="preserve">1,000~3,000</t>
    </r>
    <r>
      <rPr>
        <sz val="10"/>
        <rFont val="Noto Sans CJK SC"/>
        <family val="2"/>
      </rPr>
      <t xml:space="preserve">원</t>
    </r>
  </si>
  <si>
    <t xml:space="preserve">과다</t>
  </si>
  <si>
    <t xml:space="preserve">보고된 전환수</t>
  </si>
  <si>
    <t xml:space="preserve">클릭수보다 많음 → 전환 정의 오류</t>
  </si>
  <si>
    <t xml:space="preserve">치명</t>
  </si>
  <si>
    <r>
      <rPr>
        <sz val="10"/>
        <rFont val="Arial"/>
        <family val="0"/>
        <charset val="1"/>
      </rPr>
      <t xml:space="preserve">Firebase </t>
    </r>
    <r>
      <rPr>
        <sz val="10"/>
        <rFont val="Noto Sans CJK SC"/>
        <family val="2"/>
      </rPr>
      <t xml:space="preserve">인원</t>
    </r>
    <r>
      <rPr>
        <sz val="10"/>
        <rFont val="Arial"/>
        <family val="0"/>
        <charset val="1"/>
      </rPr>
      <t xml:space="preserve">(8/10)</t>
    </r>
  </si>
  <si>
    <r>
      <rPr>
        <sz val="10"/>
        <rFont val="Noto Sans CJK SC"/>
        <family val="2"/>
      </rPr>
      <t xml:space="preserve">클릭 대비 </t>
    </r>
    <r>
      <rPr>
        <sz val="10"/>
        <rFont val="Arial"/>
        <family val="0"/>
        <charset val="1"/>
      </rPr>
      <t xml:space="preserve">-26%</t>
    </r>
  </si>
  <si>
    <t xml:space="preserve">이탈</t>
  </si>
  <si>
    <t xml:space="preserve">session_start</t>
  </si>
  <si>
    <r>
      <rPr>
        <sz val="10"/>
        <rFont val="Arial"/>
        <family val="0"/>
        <charset val="1"/>
      </rPr>
      <t xml:space="preserve">1.10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</t>
    </r>
  </si>
  <si>
    <t xml:space="preserve">낮음</t>
  </si>
  <si>
    <t xml:space="preserve">session_end(unique)</t>
  </si>
  <si>
    <r>
      <rPr>
        <sz val="10"/>
        <rFont val="Noto Sans CJK SC"/>
        <family val="2"/>
      </rPr>
      <t xml:space="preserve">인원의 </t>
    </r>
    <r>
      <rPr>
        <sz val="10"/>
        <rFont val="Arial"/>
        <family val="0"/>
        <charset val="1"/>
      </rPr>
      <t xml:space="preserve">11.3%</t>
    </r>
  </si>
  <si>
    <r>
      <rPr>
        <sz val="10"/>
        <rFont val="Noto Sans CJK SC"/>
        <family val="2"/>
      </rPr>
      <t xml:space="preserve">사용자당 참여시간</t>
    </r>
    <r>
      <rPr>
        <sz val="10"/>
        <rFont val="Arial"/>
        <family val="0"/>
        <charset val="1"/>
      </rPr>
      <t xml:space="preserve">(8/11)</t>
    </r>
  </si>
  <si>
    <r>
      <rPr>
        <sz val="10"/>
        <rFont val="Noto Sans CJK SC"/>
        <family val="2"/>
      </rPr>
      <t xml:space="preserve">오가닉 시기 </t>
    </r>
    <r>
      <rPr>
        <sz val="10"/>
        <rFont val="Arial"/>
        <family val="0"/>
        <charset val="1"/>
      </rPr>
      <t xml:space="preserve">197~546</t>
    </r>
    <r>
      <rPr>
        <sz val="10"/>
        <rFont val="Noto Sans CJK SC"/>
        <family val="2"/>
      </rPr>
      <t xml:space="preserve">초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</si>
  <si>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리텐션</t>
    </r>
  </si>
  <si>
    <r>
      <rPr>
        <sz val="10"/>
        <rFont val="Noto Sans CJK SC"/>
        <family val="2"/>
      </rPr>
      <t xml:space="preserve">캐주얼 게임 통상 </t>
    </r>
    <r>
      <rPr>
        <sz val="10"/>
        <rFont val="Arial"/>
        <family val="0"/>
        <charset val="1"/>
      </rPr>
      <t xml:space="preserve">25~30%</t>
    </r>
  </si>
  <si>
    <t xml:space="preserve">단위 경제성</t>
  </si>
  <si>
    <t xml:space="preserve">구분</t>
  </si>
  <si>
    <t xml:space="preserve">비용</t>
  </si>
  <si>
    <t xml:space="preserve">산식</t>
  </si>
  <si>
    <r>
      <rPr>
        <sz val="10"/>
        <rFont val="Noto Sans CJK SC"/>
        <family val="2"/>
      </rPr>
      <t xml:space="preserve">유저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명당 비용</t>
    </r>
  </si>
  <si>
    <r>
      <rPr>
        <sz val="10"/>
        <rFont val="Noto Sans CJK SC"/>
        <family val="2"/>
      </rPr>
      <t xml:space="preserve">총비용 </t>
    </r>
    <r>
      <rPr>
        <sz val="10"/>
        <rFont val="Arial"/>
        <family val="0"/>
        <charset val="1"/>
      </rPr>
      <t xml:space="preserve">÷ Firebase </t>
    </r>
    <r>
      <rPr>
        <sz val="10"/>
        <rFont val="Noto Sans CJK SC"/>
        <family val="2"/>
      </rPr>
      <t xml:space="preserve">인원 </t>
    </r>
    <r>
      <rPr>
        <sz val="10"/>
        <rFont val="Arial"/>
        <family val="0"/>
        <charset val="1"/>
      </rPr>
      <t xml:space="preserve">239</t>
    </r>
  </si>
  <si>
    <r>
      <rPr>
        <sz val="10"/>
        <rFont val="Noto Sans CJK SC"/>
        <family val="2"/>
      </rPr>
      <t xml:space="preserve">참여 유저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+) 1</t>
    </r>
    <r>
      <rPr>
        <sz val="10"/>
        <rFont val="Noto Sans CJK SC"/>
        <family val="2"/>
      </rPr>
      <t xml:space="preserve">명당</t>
    </r>
  </si>
  <si>
    <r>
      <rPr>
        <sz val="10"/>
        <rFont val="Noto Sans CJK SC"/>
        <family val="2"/>
      </rPr>
      <t xml:space="preserve">참여세션 비율 </t>
    </r>
    <r>
      <rPr>
        <sz val="10"/>
        <rFont val="Arial"/>
        <family val="0"/>
        <charset val="1"/>
      </rPr>
      <t xml:space="preserve">0.33 </t>
    </r>
    <r>
      <rPr>
        <sz val="10"/>
        <rFont val="Noto Sans CJK SC"/>
        <family val="2"/>
      </rPr>
      <t xml:space="preserve">적용</t>
    </r>
    <r>
      <rPr>
        <sz val="10"/>
        <rFont val="Arial"/>
        <family val="0"/>
        <charset val="1"/>
      </rPr>
      <t xml:space="preserve">(8/10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</si>
  <si>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session_end </t>
    </r>
    <r>
      <rPr>
        <sz val="10"/>
        <rFont val="Noto Sans CJK SC"/>
        <family val="2"/>
      </rPr>
      <t xml:space="preserve">도달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명당</t>
    </r>
  </si>
  <si>
    <r>
      <rPr>
        <sz val="10"/>
        <rFont val="Noto Sans CJK SC"/>
        <family val="2"/>
      </rPr>
      <t xml:space="preserve">총비용 </t>
    </r>
    <r>
      <rPr>
        <sz val="10"/>
        <rFont val="Arial"/>
        <family val="0"/>
        <charset val="1"/>
      </rPr>
      <t xml:space="preserve">÷ unique 27</t>
    </r>
  </si>
  <si>
    <r>
      <rPr>
        <i val="true"/>
        <sz val="9"/>
        <color rgb="FF6B7280"/>
        <rFont val="Arial"/>
        <family val="0"/>
        <charset val="1"/>
      </rPr>
      <t xml:space="preserve">※ LTV: </t>
    </r>
    <r>
      <rPr>
        <i val="true"/>
        <sz val="9"/>
        <color rgb="FF6B7280"/>
        <rFont val="Noto Sans CJK SC"/>
        <family val="2"/>
      </rPr>
      <t xml:space="preserve">무과금 웹게임으로 직접 매출 </t>
    </r>
    <r>
      <rPr>
        <i val="true"/>
        <sz val="9"/>
        <color rgb="FF6B7280"/>
        <rFont val="Arial"/>
        <family val="0"/>
        <charset val="1"/>
      </rPr>
      <t xml:space="preserve">0 → </t>
    </r>
    <r>
      <rPr>
        <i val="true"/>
        <sz val="9"/>
        <color rgb="FF6B7280"/>
        <rFont val="Noto Sans CJK SC"/>
        <family val="2"/>
      </rPr>
      <t xml:space="preserve">유료 </t>
    </r>
    <r>
      <rPr>
        <i val="true"/>
        <sz val="9"/>
        <color rgb="FF6B7280"/>
        <rFont val="Arial"/>
        <family val="0"/>
        <charset val="1"/>
      </rPr>
      <t xml:space="preserve">UA</t>
    </r>
    <r>
      <rPr>
        <i val="true"/>
        <sz val="9"/>
        <color rgb="FF6B7280"/>
        <rFont val="Noto Sans CJK SC"/>
        <family val="2"/>
      </rPr>
      <t xml:space="preserve">로는 회수 불가 구조</t>
    </r>
  </si>
  <si>
    <t xml:space="preserve">캠페인 전체 실적</t>
  </si>
  <si>
    <r>
      <rPr>
        <i val="true"/>
        <sz val="9"/>
        <color rgb="FF6B7280"/>
        <rFont val="Arial"/>
        <family val="0"/>
        <charset val="1"/>
      </rPr>
      <t xml:space="preserve">'</t>
    </r>
    <r>
      <rPr>
        <i val="true"/>
        <sz val="9"/>
        <color rgb="FF6B7280"/>
        <rFont val="Noto Sans CJK SC"/>
        <family val="2"/>
      </rPr>
      <t xml:space="preserve">로고</t>
    </r>
    <r>
      <rPr>
        <i val="true"/>
        <sz val="9"/>
        <color rgb="FF6B7280"/>
        <rFont val="Arial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캠페인 수준</t>
    </r>
    <r>
      <rPr>
        <i val="true"/>
        <sz val="9"/>
        <color rgb="FF6B7280"/>
        <rFont val="Arial"/>
        <family val="0"/>
        <charset val="1"/>
      </rPr>
      <t xml:space="preserve">)' </t>
    </r>
    <r>
      <rPr>
        <i val="true"/>
        <sz val="9"/>
        <color rgb="FF6B7280"/>
        <rFont val="Noto Sans CJK SC"/>
        <family val="2"/>
      </rPr>
      <t xml:space="preserve">행이 캠페인 총계</t>
    </r>
    <r>
      <rPr>
        <i val="true"/>
        <sz val="9"/>
        <color rgb="FF6B7280"/>
        <rFont val="Arial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애셋별 행 합산은 중복집계이므로 사용 금지</t>
    </r>
  </si>
  <si>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(KRW)</t>
    </r>
  </si>
  <si>
    <t xml:space="preserve">보고 전환수</t>
  </si>
  <si>
    <r>
      <rPr>
        <sz val="10"/>
        <rFont val="Noto Sans CJK SC"/>
        <family val="2"/>
      </rPr>
      <t xml:space="preserve">전환율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클릭기준</t>
    </r>
    <r>
      <rPr>
        <sz val="10"/>
        <rFont val="Arial"/>
        <family val="0"/>
        <charset val="1"/>
      </rPr>
      <t xml:space="preserve">)</t>
    </r>
  </si>
  <si>
    <t xml:space="preserve">집행일수</t>
  </si>
  <si>
    <t xml:space="preserve">일평균 비용</t>
  </si>
  <si>
    <r>
      <rPr>
        <b val="true"/>
        <sz val="10"/>
        <color rgb="FFB42318"/>
        <rFont val="Noto Sans CJK SC"/>
        <family val="2"/>
      </rPr>
      <t xml:space="preserve">⚠ 전환수</t>
    </r>
    <r>
      <rPr>
        <b val="true"/>
        <sz val="10"/>
        <color rgb="FFB42318"/>
        <rFont val="Arial"/>
        <family val="0"/>
        <charset val="1"/>
      </rPr>
      <t xml:space="preserve">(380) &gt; </t>
    </r>
    <r>
      <rPr>
        <b val="true"/>
        <sz val="10"/>
        <color rgb="FFB42318"/>
        <rFont val="Noto Sans CJK SC"/>
        <family val="2"/>
      </rPr>
      <t xml:space="preserve">클릭수</t>
    </r>
    <r>
      <rPr>
        <b val="true"/>
        <sz val="10"/>
        <color rgb="FFB42318"/>
        <rFont val="Arial"/>
        <family val="0"/>
        <charset val="1"/>
      </rPr>
      <t xml:space="preserve">(325) → </t>
    </r>
    <r>
      <rPr>
        <b val="true"/>
        <sz val="10"/>
        <color rgb="FFB42318"/>
        <rFont val="Noto Sans CJK SC"/>
        <family val="2"/>
      </rPr>
      <t xml:space="preserve">전환 이벤트가 </t>
    </r>
    <r>
      <rPr>
        <b val="true"/>
        <sz val="10"/>
        <color rgb="FFB42318"/>
        <rFont val="Arial"/>
        <family val="0"/>
        <charset val="1"/>
      </rPr>
      <t xml:space="preserve">page_view/session_start </t>
    </r>
    <r>
      <rPr>
        <b val="true"/>
        <sz val="10"/>
        <color rgb="FFB42318"/>
        <rFont val="Noto Sans CJK SC"/>
        <family val="2"/>
      </rPr>
      <t xml:space="preserve">수준으로 설정됨</t>
    </r>
    <r>
      <rPr>
        <b val="true"/>
        <sz val="10"/>
        <color rgb="FFB42318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</si>
  <si>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전환가치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전환수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원 더미값</t>
    </r>
    <r>
      <rPr>
        <sz val="10"/>
        <rFont val="Arial"/>
        <family val="0"/>
        <charset val="1"/>
      </rPr>
      <t xml:space="preserve">) → ROAS·CPA </t>
    </r>
    <r>
      <rPr>
        <sz val="10"/>
        <rFont val="Noto Sans CJK SC"/>
        <family val="2"/>
      </rPr>
      <t xml:space="preserve">지표 전부 무의미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입찰 알고리즘이 </t>
    </r>
    <r>
      <rPr>
        <sz val="10"/>
        <rFont val="Arial"/>
        <family val="0"/>
        <charset val="1"/>
      </rPr>
      <t xml:space="preserve">'6</t>
    </r>
    <r>
      <rPr>
        <sz val="10"/>
        <rFont val="Noto Sans CJK SC"/>
        <family val="2"/>
      </rPr>
      <t xml:space="preserve">초 이탈 유저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성공으로 학습 중</t>
    </r>
    <r>
      <rPr>
        <sz val="10"/>
        <rFont val="Arial"/>
        <family val="0"/>
        <charset val="1"/>
      </rPr>
      <t xml:space="preserve">.</t>
    </r>
  </si>
  <si>
    <t xml:space="preserve">획득 퍼널 분석</t>
  </si>
  <si>
    <t xml:space="preserve">전 단계 대비 전환율 기준</t>
  </si>
  <si>
    <t xml:space="preserve">단계</t>
  </si>
  <si>
    <t xml:space="preserve">전 단계 대비</t>
  </si>
  <si>
    <r>
      <rPr>
        <b val="true"/>
        <sz val="11"/>
        <color rgb="FFFFFFFF"/>
        <rFont val="Noto Sans CJK SC"/>
        <family val="2"/>
      </rPr>
      <t xml:space="preserve">전체 대비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노출</t>
    </r>
    <r>
      <rPr>
        <b val="true"/>
        <sz val="11"/>
        <color rgb="FFFFFFFF"/>
        <rFont val="Arial"/>
        <family val="0"/>
        <charset val="1"/>
      </rPr>
      <t xml:space="preserve">=100%)</t>
    </r>
  </si>
  <si>
    <t xml:space="preserve">해석</t>
  </si>
  <si>
    <t xml:space="preserve">노출</t>
  </si>
  <si>
    <r>
      <rPr>
        <sz val="10"/>
        <rFont val="Arial"/>
        <family val="0"/>
        <charset val="1"/>
      </rPr>
      <t xml:space="preserve">PMax </t>
    </r>
    <r>
      <rPr>
        <sz val="10"/>
        <rFont val="Noto Sans CJK SC"/>
        <family val="2"/>
      </rPr>
      <t xml:space="preserve">디스플레이</t>
    </r>
    <r>
      <rPr>
        <sz val="10"/>
        <rFont val="Arial"/>
        <family val="0"/>
        <charset val="1"/>
      </rPr>
      <t xml:space="preserve">·YouTube </t>
    </r>
    <r>
      <rPr>
        <sz val="10"/>
        <rFont val="Noto Sans CJK SC"/>
        <family val="2"/>
      </rPr>
      <t xml:space="preserve">인벤토리</t>
    </r>
  </si>
  <si>
    <t xml:space="preserve">클릭</t>
  </si>
  <si>
    <r>
      <rPr>
        <sz val="10"/>
        <rFont val="Arial"/>
        <family val="0"/>
        <charset val="1"/>
      </rPr>
      <t xml:space="preserve">CTR 7.39% — </t>
    </r>
    <r>
      <rPr>
        <sz val="10"/>
        <rFont val="Noto Sans CJK SC"/>
        <family val="2"/>
      </rPr>
      <t xml:space="preserve">통상의 </t>
    </r>
    <r>
      <rPr>
        <sz val="10"/>
        <rFont val="Arial"/>
        <family val="0"/>
        <charset val="1"/>
      </rPr>
      <t xml:space="preserve">7~15</t>
    </r>
    <r>
      <rPr>
        <sz val="10"/>
        <rFont val="Noto Sans CJK SC"/>
        <family val="2"/>
      </rPr>
      <t xml:space="preserve">배</t>
    </r>
  </si>
  <si>
    <r>
      <rPr>
        <sz val="10"/>
        <rFont val="Arial"/>
        <family val="0"/>
        <charset val="1"/>
      </rPr>
      <t xml:space="preserve">Firebase </t>
    </r>
    <r>
      <rPr>
        <sz val="10"/>
        <rFont val="Noto Sans CJK SC"/>
        <family val="2"/>
      </rPr>
      <t xml:space="preserve">인원</t>
    </r>
  </si>
  <si>
    <r>
      <rPr>
        <sz val="10"/>
        <rFont val="Noto Sans CJK SC"/>
        <family val="2"/>
      </rPr>
      <t xml:space="preserve">클릭 </t>
    </r>
    <r>
      <rPr>
        <sz val="10"/>
        <rFont val="Arial"/>
        <family val="0"/>
        <charset val="1"/>
      </rPr>
      <t xml:space="preserve">26% </t>
    </r>
    <r>
      <rPr>
        <sz val="10"/>
        <rFont val="Noto Sans CJK SC"/>
        <family val="2"/>
      </rPr>
      <t xml:space="preserve">증발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로딩 이탈 또는 오클릭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</si>
  <si>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인당 </t>
    </r>
    <r>
      <rPr>
        <sz val="10"/>
        <rFont val="Arial"/>
        <family val="0"/>
        <charset val="1"/>
      </rPr>
      <t xml:space="preserve">1.10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재방문 거의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</si>
  <si>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참여세션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+) </t>
    </r>
    <r>
      <rPr>
        <sz val="10"/>
        <rFont val="Noto Sans CJK SC"/>
        <family val="2"/>
      </rPr>
      <t xml:space="preserve">추정</t>
    </r>
  </si>
  <si>
    <r>
      <rPr>
        <sz val="10"/>
        <rFont val="Noto Sans CJK SC"/>
        <family val="2"/>
      </rPr>
      <t xml:space="preserve">참여세션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사용자 </t>
    </r>
    <r>
      <rPr>
        <sz val="10"/>
        <rFont val="Arial"/>
        <family val="0"/>
        <charset val="1"/>
      </rPr>
      <t xml:space="preserve">0.33 </t>
    </r>
    <r>
      <rPr>
        <sz val="10"/>
        <rFont val="Noto Sans CJK SC"/>
        <family val="2"/>
      </rPr>
      <t xml:space="preserve">적용</t>
    </r>
  </si>
  <si>
    <r>
      <rPr>
        <sz val="10"/>
        <rFont val="Noto Sans CJK SC"/>
        <family val="2"/>
      </rPr>
      <t xml:space="preserve">정상 종료 도달 </t>
    </r>
    <r>
      <rPr>
        <sz val="10"/>
        <rFont val="Arial"/>
        <family val="0"/>
        <charset val="1"/>
      </rPr>
      <t xml:space="preserve">11.3%</t>
    </r>
  </si>
  <si>
    <r>
      <rPr>
        <sz val="10"/>
        <rFont val="Noto Sans CJK SC"/>
        <family val="2"/>
      </rPr>
      <t xml:space="preserve">가설 </t>
    </r>
    <r>
      <rPr>
        <sz val="10"/>
        <rFont val="Arial"/>
        <family val="0"/>
        <charset val="1"/>
      </rPr>
      <t xml:space="preserve">A — </t>
    </r>
    <r>
      <rPr>
        <sz val="10"/>
        <rFont val="Noto Sans CJK SC"/>
        <family val="2"/>
      </rPr>
      <t xml:space="preserve">트래픽 품질</t>
    </r>
    <r>
      <rPr>
        <sz val="10"/>
        <rFont val="Arial"/>
        <family val="0"/>
        <charset val="1"/>
      </rPr>
      <t xml:space="preserve">: PMax </t>
    </r>
    <r>
      <rPr>
        <sz val="10"/>
        <rFont val="Noto Sans CJK SC"/>
        <family val="2"/>
      </rPr>
      <t xml:space="preserve">디스플레이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앱 인벤토리 오클릭</t>
    </r>
    <r>
      <rPr>
        <sz val="10"/>
        <rFont val="Arial"/>
        <family val="0"/>
        <charset val="1"/>
      </rPr>
      <t xml:space="preserve">. CTR </t>
    </r>
    <r>
      <rPr>
        <sz val="10"/>
        <rFont val="Noto Sans CJK SC"/>
        <family val="2"/>
      </rPr>
      <t xml:space="preserve">이상 과다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클릭→인원 </t>
    </r>
    <r>
      <rPr>
        <sz val="10"/>
        <rFont val="Arial"/>
        <family val="0"/>
        <charset val="1"/>
      </rPr>
      <t xml:space="preserve">26% </t>
    </r>
    <r>
      <rPr>
        <sz val="10"/>
        <rFont val="Noto Sans CJK SC"/>
        <family val="2"/>
      </rPr>
      <t xml:space="preserve">손실이 근거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</si>
  <si>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가설 </t>
    </r>
    <r>
      <rPr>
        <sz val="10"/>
        <rFont val="Arial"/>
        <family val="0"/>
        <charset val="1"/>
      </rPr>
      <t xml:space="preserve">B — </t>
    </r>
    <r>
      <rPr>
        <sz val="10"/>
        <rFont val="Noto Sans CJK SC"/>
        <family val="2"/>
      </rPr>
      <t xml:space="preserve">랜딩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온보딩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웹게임 초기 로딩 지연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화투 룰 학습장벽</t>
    </r>
    <r>
      <rPr>
        <sz val="10"/>
        <rFont val="Arial"/>
        <family val="0"/>
        <charset val="1"/>
      </rPr>
      <t xml:space="preserve">. 6.5</t>
    </r>
    <r>
      <rPr>
        <sz val="10"/>
        <rFont val="Noto Sans CJK SC"/>
        <family val="2"/>
      </rPr>
      <t xml:space="preserve">초 이탈이 근거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</si>
  <si>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구분 방법</t>
    </r>
    <r>
      <rPr>
        <b val="true"/>
        <sz val="10"/>
        <rFont val="Arial"/>
        <family val="0"/>
        <charset val="1"/>
      </rPr>
      <t xml:space="preserve">: first_visit→session_start </t>
    </r>
    <r>
      <rPr>
        <b val="true"/>
        <sz val="10"/>
        <rFont val="Noto Sans CJK SC"/>
        <family val="2"/>
      </rPr>
      <t xml:space="preserve">시간차와 기기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네트워크별 이탈률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저사양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저속 구간 편중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로딩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전 구간 균일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오클릭</t>
    </r>
    <r>
      <rPr>
        <b val="true"/>
        <sz val="10"/>
        <rFont val="Arial"/>
        <family val="0"/>
        <charset val="1"/>
      </rPr>
      <t xml:space="preserve">.</t>
    </r>
  </si>
  <si>
    <r>
      <rPr>
        <b val="true"/>
        <sz val="15"/>
        <color rgb="FF1F2937"/>
        <rFont val="Arial"/>
        <family val="0"/>
        <charset val="1"/>
      </rPr>
      <t xml:space="preserve">Firebase </t>
    </r>
    <r>
      <rPr>
        <b val="true"/>
        <sz val="15"/>
        <color rgb="FF1F2937"/>
        <rFont val="Noto Sans CJK SC"/>
        <family val="2"/>
      </rPr>
      <t xml:space="preserve">일별 참여지표 추이</t>
    </r>
  </si>
  <si>
    <r>
      <rPr>
        <i val="true"/>
        <sz val="9"/>
        <color rgb="FF6B7280"/>
        <rFont val="Arial"/>
        <family val="0"/>
        <charset val="1"/>
      </rPr>
      <t xml:space="preserve">N</t>
    </r>
    <r>
      <rPr>
        <i val="true"/>
        <sz val="9"/>
        <color rgb="FF6B7280"/>
        <rFont val="Noto Sans CJK SC"/>
        <family val="2"/>
      </rPr>
      <t xml:space="preserve">일 </t>
    </r>
    <r>
      <rPr>
        <i val="true"/>
        <sz val="9"/>
        <color rgb="FF6B7280"/>
        <rFont val="Arial"/>
        <family val="0"/>
        <charset val="1"/>
      </rPr>
      <t xml:space="preserve">0000 = 2026-07-15 </t>
    </r>
    <r>
      <rPr>
        <i val="true"/>
        <sz val="9"/>
        <color rgb="FF6B7280"/>
        <rFont val="Noto Sans CJK SC"/>
        <family val="2"/>
      </rPr>
      <t xml:space="preserve">기준</t>
    </r>
    <r>
      <rPr>
        <i val="true"/>
        <sz val="9"/>
        <color rgb="FF6B7280"/>
        <rFont val="Arial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광고 집행 시작 </t>
    </r>
    <r>
      <rPr>
        <i val="true"/>
        <sz val="9"/>
        <color rgb="FF6B7280"/>
        <rFont val="Arial"/>
        <family val="0"/>
        <charset val="1"/>
      </rPr>
      <t xml:space="preserve">= 8/7(D23) </t>
    </r>
    <r>
      <rPr>
        <i val="true"/>
        <sz val="9"/>
        <color rgb="FF6B7280"/>
        <rFont val="Noto Sans CJK SC"/>
        <family val="2"/>
      </rPr>
      <t xml:space="preserve">오후</t>
    </r>
  </si>
  <si>
    <t xml:space="preserve">날짜</t>
  </si>
  <si>
    <r>
      <rPr>
        <b val="true"/>
        <sz val="11"/>
        <color rgb="FFFFFFFF"/>
        <rFont val="Arial"/>
        <family val="0"/>
        <charset val="1"/>
      </rPr>
      <t xml:space="preserve">N</t>
    </r>
    <r>
      <rPr>
        <b val="true"/>
        <sz val="11"/>
        <color rgb="FFFFFFFF"/>
        <rFont val="Noto Sans CJK SC"/>
        <family val="2"/>
      </rPr>
      <t xml:space="preserve">일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</si>
  <si>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일 활성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</si>
  <si>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일 활성</t>
    </r>
  </si>
  <si>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일 활성</t>
    </r>
  </si>
  <si>
    <r>
      <rPr>
        <b val="true"/>
        <sz val="11"/>
        <color rgb="FFFFFFFF"/>
        <rFont val="Noto Sans CJK SC"/>
        <family val="2"/>
      </rPr>
      <t xml:space="preserve">사용자당 참여시간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</si>
  <si>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사용자당 참여세션</t>
  </si>
  <si>
    <r>
      <rPr>
        <b val="true"/>
        <sz val="11"/>
        <color rgb="FFFFFFFF"/>
        <rFont val="Noto Sans CJK SC"/>
        <family val="2"/>
      </rPr>
      <t xml:space="preserve">세션당 참여시간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</si>
  <si>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구간</t>
  </si>
  <si>
    <t xml:space="preserve">2026-07-31</t>
  </si>
  <si>
    <t xml:space="preserve">D0016</t>
  </si>
  <si>
    <t xml:space="preserve">오가닉</t>
  </si>
  <si>
    <t xml:space="preserve">2026-08-01</t>
  </si>
  <si>
    <t xml:space="preserve">D0017</t>
  </si>
  <si>
    <t xml:space="preserve">2026-08-02</t>
  </si>
  <si>
    <t xml:space="preserve">D0018</t>
  </si>
  <si>
    <t xml:space="preserve">2026-08-03</t>
  </si>
  <si>
    <t xml:space="preserve">D0019</t>
  </si>
  <si>
    <t xml:space="preserve">2026-08-04</t>
  </si>
  <si>
    <t xml:space="preserve">D0020</t>
  </si>
  <si>
    <t xml:space="preserve">2026-08-05</t>
  </si>
  <si>
    <t xml:space="preserve">D0021</t>
  </si>
  <si>
    <t xml:space="preserve">2026-08-06</t>
  </si>
  <si>
    <t xml:space="preserve">D0022</t>
  </si>
  <si>
    <t xml:space="preserve">2026-08-07</t>
  </si>
  <si>
    <t xml:space="preserve">D0023</t>
  </si>
  <si>
    <t xml:space="preserve">광고</t>
  </si>
  <si>
    <t xml:space="preserve">2026-08-08</t>
  </si>
  <si>
    <t xml:space="preserve">D0024</t>
  </si>
  <si>
    <t xml:space="preserve">2026-08-09</t>
  </si>
  <si>
    <t xml:space="preserve">D0025</t>
  </si>
  <si>
    <t xml:space="preserve">2026-08-10</t>
  </si>
  <si>
    <t xml:space="preserve">D0026</t>
  </si>
  <si>
    <t xml:space="preserve">2026-08-11</t>
  </si>
  <si>
    <t xml:space="preserve">D0027</t>
  </si>
  <si>
    <r>
      <rPr>
        <b val="true"/>
        <sz val="10"/>
        <color rgb="FFB42318"/>
        <rFont val="Noto Sans CJK SC"/>
        <family val="2"/>
      </rPr>
      <t xml:space="preserve">오가닉</t>
    </r>
    <r>
      <rPr>
        <b val="true"/>
        <sz val="10"/>
        <color rgb="FFB42318"/>
        <rFont val="Arial"/>
        <family val="0"/>
        <charset val="1"/>
      </rPr>
      <t xml:space="preserve">(7/31~8/6): </t>
    </r>
    <r>
      <rPr>
        <b val="true"/>
        <sz val="10"/>
        <color rgb="FFB42318"/>
        <rFont val="Noto Sans CJK SC"/>
        <family val="2"/>
      </rPr>
      <t xml:space="preserve">사용자당 참여시간 </t>
    </r>
    <r>
      <rPr>
        <b val="true"/>
        <sz val="10"/>
        <color rgb="FFB42318"/>
        <rFont val="Arial"/>
        <family val="0"/>
        <charset val="1"/>
      </rPr>
      <t xml:space="preserve">197~546</t>
    </r>
    <r>
      <rPr>
        <b val="true"/>
        <sz val="10"/>
        <color rgb="FFB42318"/>
        <rFont val="Noto Sans CJK SC"/>
        <family val="2"/>
      </rPr>
      <t xml:space="preserve">초 → 광고 유입</t>
    </r>
    <r>
      <rPr>
        <b val="true"/>
        <sz val="10"/>
        <color rgb="FFB42318"/>
        <rFont val="Arial"/>
        <family val="0"/>
        <charset val="1"/>
      </rPr>
      <t xml:space="preserve">(8/9~8/11): 16.9 → 13.9 → 6.5</t>
    </r>
    <r>
      <rPr>
        <b val="true"/>
        <sz val="10"/>
        <color rgb="FFB42318"/>
        <rFont val="Noto Sans CJK SC"/>
        <family val="2"/>
      </rPr>
      <t xml:space="preserve">초</t>
    </r>
    <r>
      <rPr>
        <b val="true"/>
        <sz val="10"/>
        <color rgb="FFB42318"/>
        <rFont val="Arial"/>
        <family val="0"/>
        <charset val="1"/>
      </rPr>
      <t xml:space="preserve">. </t>
    </r>
    <r>
      <rPr>
        <b val="true"/>
        <sz val="10"/>
        <color rgb="FFB42318"/>
        <rFont val="Noto Sans CJK SC"/>
        <family val="2"/>
      </rPr>
      <t xml:space="preserve">약 </t>
    </r>
    <r>
      <rPr>
        <b val="true"/>
        <sz val="10"/>
        <color rgb="FFB42318"/>
        <rFont val="Arial"/>
        <family val="0"/>
        <charset val="1"/>
      </rPr>
      <t xml:space="preserve">97% </t>
    </r>
    <r>
      <rPr>
        <b val="true"/>
        <sz val="10"/>
        <color rgb="FFB42318"/>
        <rFont val="Noto Sans CJK SC"/>
        <family val="2"/>
      </rPr>
      <t xml:space="preserve">감소</t>
    </r>
    <r>
      <rPr>
        <b val="true"/>
        <sz val="10"/>
        <color rgb="FFB42318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</si>
  <si>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참여세션 </t>
    </r>
    <r>
      <rPr>
        <sz val="10"/>
        <rFont val="Arial"/>
        <family val="0"/>
        <charset val="1"/>
      </rPr>
      <t xml:space="preserve">0.27~0.47 = </t>
    </r>
    <r>
      <rPr>
        <sz val="10"/>
        <rFont val="Noto Sans CJK SC"/>
        <family val="2"/>
      </rPr>
      <t xml:space="preserve">유입 인원의 약 </t>
    </r>
    <r>
      <rPr>
        <sz val="10"/>
        <rFont val="Arial"/>
        <family val="0"/>
        <charset val="1"/>
      </rPr>
      <t xml:space="preserve">2/3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초를 넘기지 못함</t>
    </r>
    <r>
      <rPr>
        <sz val="10"/>
        <rFont val="Arial"/>
        <family val="0"/>
        <charset val="1"/>
      </rPr>
      <t xml:space="preserve">.</t>
    </r>
  </si>
  <si>
    <r>
      <rPr>
        <b val="true"/>
        <sz val="15"/>
        <color rgb="FF1F2937"/>
        <rFont val="Noto Sans CJK SC"/>
        <family val="2"/>
      </rPr>
      <t xml:space="preserve">사용자 집단 리텐션 </t>
    </r>
    <r>
      <rPr>
        <b val="true"/>
        <sz val="15"/>
        <color rgb="FF1F2937"/>
        <rFont val="Arial"/>
        <family val="0"/>
        <charset val="1"/>
      </rPr>
      <t xml:space="preserve">(2026-07-01 ~ 08-11)</t>
    </r>
  </si>
  <si>
    <r>
      <rPr>
        <i val="true"/>
        <sz val="9"/>
        <color rgb="FF6B7280"/>
        <rFont val="Arial"/>
        <family val="0"/>
        <charset val="1"/>
      </rPr>
      <t xml:space="preserve">Firebase </t>
    </r>
    <r>
      <rPr>
        <i val="true"/>
        <sz val="9"/>
        <color rgb="FF6B7280"/>
        <rFont val="Noto Sans CJK SC"/>
        <family val="2"/>
      </rPr>
      <t xml:space="preserve">코호트 기준</t>
    </r>
  </si>
  <si>
    <t xml:space="preserve">경과일</t>
  </si>
  <si>
    <t xml:space="preserve">리텐션</t>
  </si>
  <si>
    <t xml:space="preserve">캐주얼게임 벤치마크</t>
  </si>
  <si>
    <t xml:space="preserve">벤치마크 대비</t>
  </si>
  <si>
    <t xml:space="preserve">D0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</si>
  <si>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</si>
  <si>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</si>
  <si>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</si>
  <si>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</si>
  <si>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</si>
  <si>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</si>
  <si>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</si>
  <si>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</si>
  <si>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</si>
  <si>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</si>
  <si>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</si>
  <si>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</si>
  <si>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r>
      <rPr>
        <b val="true"/>
        <sz val="10"/>
        <color rgb="FFB42318"/>
        <rFont val="Arial"/>
        <family val="0"/>
        <charset val="1"/>
      </rPr>
      <t xml:space="preserve">D1 2.76% — </t>
    </r>
    <r>
      <rPr>
        <b val="true"/>
        <sz val="10"/>
        <color rgb="FFB42318"/>
        <rFont val="Noto Sans CJK SC"/>
        <family val="2"/>
      </rPr>
      <t xml:space="preserve">캐주얼 게임 통상 </t>
    </r>
    <r>
      <rPr>
        <b val="true"/>
        <sz val="10"/>
        <color rgb="FFB42318"/>
        <rFont val="Arial"/>
        <family val="0"/>
        <charset val="1"/>
      </rPr>
      <t xml:space="preserve">25~30%</t>
    </r>
    <r>
      <rPr>
        <b val="true"/>
        <sz val="10"/>
        <color rgb="FFB42318"/>
        <rFont val="Noto Sans CJK SC"/>
        <family val="2"/>
      </rPr>
      <t xml:space="preserve">의 약 </t>
    </r>
    <r>
      <rPr>
        <b val="true"/>
        <sz val="10"/>
        <color rgb="FFB42318"/>
        <rFont val="Arial"/>
        <family val="0"/>
        <charset val="1"/>
      </rPr>
      <t xml:space="preserve">1/10. </t>
    </r>
    <r>
      <rPr>
        <b val="true"/>
        <sz val="10"/>
        <color rgb="FFB42318"/>
        <rFont val="Noto Sans CJK SC"/>
        <family val="2"/>
      </rPr>
      <t xml:space="preserve">재방문 동기가 사실상 형성되지 않음</t>
    </r>
    <r>
      <rPr>
        <b val="true"/>
        <sz val="10"/>
        <color rgb="FFB42318"/>
        <rFont val="Arial"/>
        <family val="0"/>
        <charset val="1"/>
      </rPr>
      <t xml:space="preserve">.</t>
    </r>
  </si>
  <si>
    <r>
      <rPr>
        <b val="true"/>
        <sz val="15"/>
        <color rgb="FF1F2937"/>
        <rFont val="Noto Sans CJK SC"/>
        <family val="2"/>
      </rPr>
      <t xml:space="preserve">애셋별 성과 </t>
    </r>
    <r>
      <rPr>
        <b val="true"/>
        <sz val="15"/>
        <color rgb="FF1F2937"/>
        <rFont val="Arial"/>
        <family val="0"/>
        <charset val="1"/>
      </rPr>
      <t xml:space="preserve">(</t>
    </r>
    <r>
      <rPr>
        <b val="true"/>
        <sz val="15"/>
        <color rgb="FF1F2937"/>
        <rFont val="Noto Sans CJK SC"/>
        <family val="2"/>
      </rPr>
      <t xml:space="preserve">노출 발생 애셋</t>
    </r>
    <r>
      <rPr>
        <b val="true"/>
        <sz val="15"/>
        <color rgb="FF1F2937"/>
        <rFont val="Arial"/>
        <family val="0"/>
        <charset val="1"/>
      </rPr>
      <t xml:space="preserve">)</t>
    </r>
  </si>
  <si>
    <r>
      <rPr>
        <i val="true"/>
        <sz val="9"/>
        <color rgb="FF6B7280"/>
        <rFont val="Noto Sans CJK SC"/>
        <family val="2"/>
      </rPr>
      <t xml:space="preserve">※ 애셋별 수치는 중복 귀속됨 — 합산 금지</t>
    </r>
    <r>
      <rPr>
        <i val="true"/>
        <sz val="9"/>
        <color rgb="FF6B7280"/>
        <rFont val="Arial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상대 비교 용도로만 사용</t>
    </r>
  </si>
  <si>
    <t xml:space="preserve">애셋</t>
  </si>
  <si>
    <t xml:space="preserve">유형</t>
  </si>
  <si>
    <t xml:space="preserve">수준</t>
  </si>
  <si>
    <t xml:space="preserve">현재 상태</t>
  </si>
  <si>
    <t xml:space="preserve">전환</t>
  </si>
  <si>
    <t xml:space="preserve">https://tpc.googlesyndication.com/simgad/80071493016...</t>
  </si>
  <si>
    <t xml:space="preserve">로고</t>
  </si>
  <si>
    <t xml:space="preserve">캠페인</t>
  </si>
  <si>
    <t xml:space="preserve">사용 가능</t>
  </si>
  <si>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, 1</t>
    </r>
    <r>
      <rPr>
        <sz val="10"/>
        <rFont val="Noto Sans CJK SC"/>
        <family val="2"/>
      </rPr>
      <t xml:space="preserve">월부터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월의 로그라이크 덱빌더</t>
    </r>
  </si>
  <si>
    <t xml:space="preserve">긴 광고 제목</t>
  </si>
  <si>
    <t xml:space="preserve">애셋 그룹</t>
  </si>
  <si>
    <t xml:space="preserve">제한됨</t>
  </si>
  <si>
    <t xml:space="preserve">https://www.youtube.com/watch?v=3fxP2PE50ks</t>
  </si>
  <si>
    <r>
      <rPr>
        <sz val="10"/>
        <rFont val="Noto Sans CJK SC"/>
        <family val="2"/>
      </rPr>
      <t xml:space="preserve">가로 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동영상</t>
    </r>
  </si>
  <si>
    <t xml:space="preserve">https://www.youtube.com/watch?v=7anhuGonaHU</t>
  </si>
  <si>
    <r>
      <rPr>
        <sz val="10"/>
        <rFont val="Noto Sans CJK SC"/>
        <family val="2"/>
      </rPr>
      <t xml:space="preserve">정사각형 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동영상</t>
    </r>
  </si>
  <si>
    <t xml:space="preserve">삭제됨</t>
  </si>
  <si>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단풍의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</t>
    </r>
  </si>
  <si>
    <t xml:space="preserve">광고 제목</t>
  </si>
  <si>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목표 점수는 치솟는다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덱이 강해지지 않으면 살아남을 수 없다</t>
    </r>
    <r>
      <rPr>
        <sz val="10"/>
        <rFont val="Arial"/>
        <family val="0"/>
        <charset val="1"/>
      </rPr>
      <t xml:space="preserve">.</t>
    </r>
  </si>
  <si>
    <t xml:space="preserve">설명</t>
  </si>
  <si>
    <r>
      <rPr>
        <sz val="10"/>
        <rFont val="Noto Sans CJK SC"/>
        <family val="2"/>
      </rPr>
      <t xml:space="preserve">뽑기도 광고도 없는 카드 로그라이크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오직 실력과 빌드만이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월의 마지막 판에 닿는다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</si>
  <si>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그게 뭔데요</t>
    </r>
    <r>
      <rPr>
        <sz val="10"/>
        <rFont val="Arial"/>
        <family val="0"/>
        <charset val="1"/>
      </rPr>
      <t xml:space="preserve">?</t>
    </r>
  </si>
  <si>
    <t xml:space="preserve">https://www.youtube.com/watch?v=Ffx6gHbAMNU</t>
  </si>
  <si>
    <r>
      <rPr>
        <sz val="10"/>
        <rFont val="Noto Sans CJK SC"/>
        <family val="2"/>
      </rPr>
      <t xml:space="preserve">세로 </t>
    </r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동영상</t>
    </r>
  </si>
  <si>
    <t xml:space="preserve">https://www.youtube.com/watch?v=ek0K-z0z-Ps</t>
  </si>
  <si>
    <r>
      <rPr>
        <sz val="10"/>
        <rFont val="Arial"/>
        <family val="0"/>
        <charset val="1"/>
      </rPr>
      <t xml:space="preserve">YouTube </t>
    </r>
    <r>
      <rPr>
        <sz val="10"/>
        <rFont val="Noto Sans CJK SC"/>
        <family val="2"/>
      </rPr>
      <t xml:space="preserve">동영상</t>
    </r>
  </si>
  <si>
    <t xml:space="preserve">Hwatro</t>
  </si>
  <si>
    <t xml:space="preserve">업체 이름</t>
  </si>
  <si>
    <r>
      <rPr>
        <b val="true"/>
        <sz val="10"/>
        <color rgb="FFB42318"/>
        <rFont val="Noto Sans CJK SC"/>
        <family val="2"/>
      </rPr>
      <t xml:space="preserve">⚠ 실적을 낸 애셋 대부분이 </t>
    </r>
    <r>
      <rPr>
        <b val="true"/>
        <sz val="10"/>
        <color rgb="FFB42318"/>
        <rFont val="Arial"/>
        <family val="0"/>
        <charset val="1"/>
      </rPr>
      <t xml:space="preserve">'</t>
    </r>
    <r>
      <rPr>
        <b val="true"/>
        <sz val="10"/>
        <color rgb="FFB42318"/>
        <rFont val="Noto Sans CJK SC"/>
        <family val="2"/>
      </rPr>
      <t xml:space="preserve">삭제됨</t>
    </r>
    <r>
      <rPr>
        <b val="true"/>
        <sz val="10"/>
        <color rgb="FFB42318"/>
        <rFont val="Arial"/>
        <family val="0"/>
        <charset val="1"/>
      </rPr>
      <t xml:space="preserve">' </t>
    </r>
    <r>
      <rPr>
        <b val="true"/>
        <sz val="10"/>
        <color rgb="FFB42318"/>
        <rFont val="Noto Sans CJK SC"/>
        <family val="2"/>
      </rPr>
      <t xml:space="preserve">또는 </t>
    </r>
    <r>
      <rPr>
        <b val="true"/>
        <sz val="10"/>
        <color rgb="FFB42318"/>
        <rFont val="Arial"/>
        <family val="0"/>
        <charset val="1"/>
      </rPr>
      <t xml:space="preserve">'</t>
    </r>
    <r>
      <rPr>
        <b val="true"/>
        <sz val="10"/>
        <color rgb="FFB42318"/>
        <rFont val="Noto Sans CJK SC"/>
        <family val="2"/>
      </rPr>
      <t xml:space="preserve">제한됨</t>
    </r>
    <r>
      <rPr>
        <b val="true"/>
        <sz val="10"/>
        <color rgb="FFB42318"/>
        <rFont val="Arial"/>
        <family val="0"/>
        <charset val="1"/>
      </rPr>
      <t xml:space="preserve">' </t>
    </r>
    <r>
      <rPr>
        <b val="true"/>
        <sz val="10"/>
        <color rgb="FFB42318"/>
        <rFont val="Noto Sans CJK SC"/>
        <family val="2"/>
      </rPr>
      <t xml:space="preserve">상태 — 승자 소재를 스스로 제거한 상황</t>
    </r>
    <r>
      <rPr>
        <b val="true"/>
        <sz val="10"/>
        <color rgb="FFB42318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</si>
  <si>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⚠ 삭제한 정사각형 영상</t>
    </r>
    <r>
      <rPr>
        <sz val="10"/>
        <rFont val="Arial"/>
        <family val="0"/>
        <charset val="1"/>
      </rPr>
      <t xml:space="preserve">(7anhuGonaHU) CPC 113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잔존 가로 영상 </t>
    </r>
    <r>
      <rPr>
        <sz val="10"/>
        <rFont val="Arial"/>
        <family val="0"/>
        <charset val="1"/>
      </rPr>
      <t xml:space="preserve">195</t>
    </r>
    <r>
      <rPr>
        <sz val="10"/>
        <rFont val="Noto Sans CJK SC"/>
        <family val="2"/>
      </rPr>
      <t xml:space="preserve">원 → </t>
    </r>
    <r>
      <rPr>
        <sz val="10"/>
        <rFont val="Arial"/>
        <family val="0"/>
        <charset val="1"/>
      </rPr>
      <t xml:space="preserve">73% </t>
    </r>
    <r>
      <rPr>
        <sz val="10"/>
        <rFont val="Noto Sans CJK SC"/>
        <family val="2"/>
      </rPr>
      <t xml:space="preserve">저렴한 소재를 삭제함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즉시 복원 권장</t>
    </r>
    <r>
      <rPr>
        <sz val="10"/>
        <rFont val="Arial"/>
        <family val="0"/>
        <charset val="1"/>
      </rPr>
      <t xml:space="preserve">.</t>
    </r>
  </si>
  <si>
    <t xml:space="preserve">애셋 상태 점검 — 게재 차단 위험</t>
  </si>
  <si>
    <r>
      <rPr>
        <i val="true"/>
        <sz val="9"/>
        <color rgb="FF6B7280"/>
        <rFont val="Noto Sans CJK SC"/>
        <family val="2"/>
      </rPr>
      <t xml:space="preserve">현재 </t>
    </r>
    <r>
      <rPr>
        <i val="true"/>
        <sz val="9"/>
        <color rgb="FF6B7280"/>
        <rFont val="Arial"/>
        <family val="0"/>
        <charset val="1"/>
      </rPr>
      <t xml:space="preserve">'</t>
    </r>
    <r>
      <rPr>
        <i val="true"/>
        <sz val="9"/>
        <color rgb="FF6B7280"/>
        <rFont val="Noto Sans CJK SC"/>
        <family val="2"/>
      </rPr>
      <t xml:space="preserve">사용 설정됨</t>
    </r>
    <r>
      <rPr>
        <i val="true"/>
        <sz val="9"/>
        <color rgb="FF6B7280"/>
        <rFont val="Arial"/>
        <family val="0"/>
        <charset val="1"/>
      </rPr>
      <t xml:space="preserve">' </t>
    </r>
    <r>
      <rPr>
        <i val="true"/>
        <sz val="9"/>
        <color rgb="FF6B7280"/>
        <rFont val="Noto Sans CJK SC"/>
        <family val="2"/>
      </rPr>
      <t xml:space="preserve">애셋 기준</t>
    </r>
  </si>
  <si>
    <t xml:space="preserve">애셋 유형</t>
  </si>
  <si>
    <t xml:space="preserve">사용 불가</t>
  </si>
  <si>
    <t xml:space="preserve">대기 중</t>
  </si>
  <si>
    <t xml:space="preserve">합계</t>
  </si>
  <si>
    <t xml:space="preserve">판정</t>
  </si>
  <si>
    <t xml:space="preserve">위험</t>
  </si>
  <si>
    <t xml:space="preserve">주의</t>
  </si>
  <si>
    <t xml:space="preserve">세로형 이미지</t>
  </si>
  <si>
    <t xml:space="preserve">정상</t>
  </si>
  <si>
    <t xml:space="preserve">가로형 이미지</t>
  </si>
  <si>
    <t xml:space="preserve">정사각형 이미지</t>
  </si>
  <si>
    <t xml:space="preserve">사이트링크</t>
  </si>
  <si>
    <r>
      <rPr>
        <b val="true"/>
        <sz val="11"/>
        <color rgb="FFB42318"/>
        <rFont val="Noto Sans CJK SC"/>
        <family val="2"/>
      </rPr>
      <t xml:space="preserve">⚠ 최우선</t>
    </r>
    <r>
      <rPr>
        <b val="true"/>
        <sz val="11"/>
        <color rgb="FFB42318"/>
        <rFont val="Arial"/>
        <family val="0"/>
        <charset val="1"/>
      </rPr>
      <t xml:space="preserve">: '</t>
    </r>
    <r>
      <rPr>
        <b val="true"/>
        <sz val="11"/>
        <color rgb="FFB42318"/>
        <rFont val="Noto Sans CJK SC"/>
        <family val="2"/>
      </rPr>
      <t xml:space="preserve">사용 가능</t>
    </r>
    <r>
      <rPr>
        <b val="true"/>
        <sz val="11"/>
        <color rgb="FFB42318"/>
        <rFont val="Arial"/>
        <family val="0"/>
        <charset val="1"/>
      </rPr>
      <t xml:space="preserve">' </t>
    </r>
    <r>
      <rPr>
        <b val="true"/>
        <sz val="11"/>
        <color rgb="FFB42318"/>
        <rFont val="Noto Sans CJK SC"/>
        <family val="2"/>
      </rPr>
      <t xml:space="preserve">상태의 광고 제목이 </t>
    </r>
    <r>
      <rPr>
        <b val="true"/>
        <sz val="11"/>
        <color rgb="FFB42318"/>
        <rFont val="Arial"/>
        <family val="0"/>
        <charset val="1"/>
      </rPr>
      <t xml:space="preserve">0</t>
    </r>
    <r>
      <rPr>
        <b val="true"/>
        <sz val="11"/>
        <color rgb="FFB42318"/>
        <rFont val="Noto Sans CJK SC"/>
        <family val="2"/>
      </rPr>
      <t xml:space="preserve">개입니다</t>
    </r>
    <r>
      <rPr>
        <b val="true"/>
        <sz val="11"/>
        <color rgb="FFB42318"/>
        <rFont val="Arial"/>
        <family val="0"/>
        <charset val="1"/>
      </rPr>
      <t xml:space="preserve">. Google Ads</t>
    </r>
    <r>
      <rPr>
        <b val="true"/>
        <sz val="11"/>
        <color rgb="FFB42318"/>
        <rFont val="Noto Sans CJK SC"/>
        <family val="2"/>
      </rPr>
      <t xml:space="preserve">는 최소 </t>
    </r>
    <r>
      <rPr>
        <b val="true"/>
        <sz val="11"/>
        <color rgb="FFB42318"/>
        <rFont val="Arial"/>
        <family val="0"/>
        <charset val="1"/>
      </rPr>
      <t xml:space="preserve">3</t>
    </r>
    <r>
      <rPr>
        <b val="true"/>
        <sz val="11"/>
        <color rgb="FFB42318"/>
        <rFont val="Noto Sans CJK SC"/>
        <family val="2"/>
      </rPr>
      <t xml:space="preserve">개 이상을 요구 → 현재 정상 게재 불가 가능성</t>
    </r>
    <r>
      <rPr>
        <b val="true"/>
        <sz val="11"/>
        <color rgb="FFB42318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</si>
  <si>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8/11 02:53~03:16</t>
    </r>
    <r>
      <rPr>
        <sz val="10"/>
        <rFont val="Noto Sans CJK SC"/>
        <family val="2"/>
      </rPr>
      <t xml:space="preserve">에 광고 제목 전량 교체 → 신규 제목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개 전부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사용 불가</t>
    </r>
    <r>
      <rPr>
        <sz val="10"/>
        <rFont val="Arial"/>
        <family val="0"/>
        <charset val="1"/>
      </rPr>
      <t xml:space="preserve">'. </t>
    </r>
    <r>
      <rPr>
        <sz val="10"/>
        <rFont val="Noto Sans CJK SC"/>
        <family val="2"/>
      </rPr>
      <t xml:space="preserve">승인 사유 즉시 확인 필요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</si>
  <si>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학습 리셋 이력 </t>
    </r>
    <r>
      <rPr>
        <b val="true"/>
        <sz val="12"/>
        <rFont val="Arial"/>
        <family val="0"/>
        <charset val="1"/>
      </rPr>
      <t xml:space="preserve">(PMax</t>
    </r>
    <r>
      <rPr>
        <b val="true"/>
        <sz val="12"/>
        <rFont val="Noto Sans CJK SC"/>
        <family val="2"/>
      </rPr>
      <t xml:space="preserve">는 애셋 교체 시 학습 초기화</t>
    </r>
    <r>
      <rPr>
        <b val="true"/>
        <sz val="12"/>
        <rFont val="Arial"/>
        <family val="0"/>
        <charset val="1"/>
      </rPr>
      <t xml:space="preserve">)</t>
    </r>
  </si>
  <si>
    <t xml:space="preserve">일시</t>
  </si>
  <si>
    <t xml:space="preserve">변경 내용</t>
  </si>
  <si>
    <t xml:space="preserve">영향</t>
  </si>
  <si>
    <t xml:space="preserve">8/7 14:12</t>
  </si>
  <si>
    <r>
      <rPr>
        <sz val="10"/>
        <rFont val="Noto Sans CJK SC"/>
        <family val="2"/>
      </rPr>
      <t xml:space="preserve">브랜드명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화투로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개설</t>
    </r>
  </si>
  <si>
    <t xml:space="preserve">기준선</t>
  </si>
  <si>
    <t xml:space="preserve">8/7 14:36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</si>
  <si>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화트로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변경</t>
    </r>
  </si>
  <si>
    <r>
      <rPr>
        <sz val="10"/>
        <rFont val="Noto Sans CJK SC"/>
        <family val="2"/>
      </rPr>
      <t xml:space="preserve">학습 리셋 </t>
    </r>
    <r>
      <rPr>
        <sz val="10"/>
        <rFont val="Arial"/>
        <family val="0"/>
        <charset val="1"/>
      </rPr>
      <t xml:space="preserve">1</t>
    </r>
  </si>
  <si>
    <t xml:space="preserve">8/8 00:34</t>
  </si>
  <si>
    <r>
      <rPr>
        <sz val="10"/>
        <rFont val="Arial"/>
        <family val="0"/>
        <charset val="1"/>
      </rPr>
      <t xml:space="preserve">'Hwatro'</t>
    </r>
    <r>
      <rPr>
        <sz val="10"/>
        <rFont val="Noto Sans CJK SC"/>
        <family val="2"/>
      </rPr>
      <t xml:space="preserve">로 변경</t>
    </r>
  </si>
  <si>
    <r>
      <rPr>
        <sz val="10"/>
        <rFont val="Noto Sans CJK SC"/>
        <family val="2"/>
      </rPr>
      <t xml:space="preserve">학습 리셋 </t>
    </r>
    <r>
      <rPr>
        <sz val="10"/>
        <rFont val="Arial"/>
        <family val="0"/>
        <charset val="1"/>
      </rPr>
      <t xml:space="preserve">2</t>
    </r>
  </si>
  <si>
    <t xml:space="preserve">8/8 13:01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</si>
  <si>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변경</t>
    </r>
  </si>
  <si>
    <r>
      <rPr>
        <sz val="10"/>
        <rFont val="Noto Sans CJK SC"/>
        <family val="2"/>
      </rPr>
      <t xml:space="preserve">학습 리셋 </t>
    </r>
    <r>
      <rPr>
        <sz val="10"/>
        <rFont val="Arial"/>
        <family val="0"/>
        <charset val="1"/>
      </rPr>
      <t xml:space="preserve">3</t>
    </r>
  </si>
  <si>
    <t xml:space="preserve">8/11 02:53</t>
  </si>
  <si>
    <t xml:space="preserve">광고 제목 전량 교체</t>
  </si>
  <si>
    <r>
      <rPr>
        <sz val="10"/>
        <rFont val="Noto Sans CJK SC"/>
        <family val="2"/>
      </rPr>
      <t xml:space="preserve">학습 리셋 </t>
    </r>
    <r>
      <rPr>
        <sz val="10"/>
        <rFont val="Arial"/>
        <family val="0"/>
        <charset val="1"/>
      </rPr>
      <t xml:space="preserve">4 + </t>
    </r>
    <r>
      <rPr>
        <sz val="10"/>
        <rFont val="Noto Sans CJK SC"/>
        <family val="2"/>
      </rPr>
      <t xml:space="preserve">게재 차단</t>
    </r>
  </si>
  <si>
    <r>
      <rPr>
        <b val="true"/>
        <sz val="10"/>
        <color rgb="FFB42318"/>
        <rFont val="Arial"/>
        <family val="0"/>
        <charset val="1"/>
      </rPr>
      <t xml:space="preserve">5</t>
    </r>
    <r>
      <rPr>
        <b val="true"/>
        <sz val="10"/>
        <color rgb="FFB42318"/>
        <rFont val="Noto Sans CJK SC"/>
        <family val="2"/>
      </rPr>
      <t xml:space="preserve">일 캠페인에서 </t>
    </r>
    <r>
      <rPr>
        <b val="true"/>
        <sz val="10"/>
        <color rgb="FFB42318"/>
        <rFont val="Arial"/>
        <family val="0"/>
        <charset val="1"/>
      </rPr>
      <t xml:space="preserve">4</t>
    </r>
    <r>
      <rPr>
        <b val="true"/>
        <sz val="10"/>
        <color rgb="FFB42318"/>
        <rFont val="Noto Sans CJK SC"/>
        <family val="2"/>
      </rPr>
      <t xml:space="preserve">회 리셋 → 알고리즘이 학습을 완료한 적이 없음</t>
    </r>
    <r>
      <rPr>
        <b val="true"/>
        <sz val="10"/>
        <color rgb="FFB42318"/>
        <rFont val="Arial"/>
        <family val="0"/>
        <charset val="1"/>
      </rPr>
      <t xml:space="preserve">.</t>
    </r>
  </si>
  <si>
    <t xml:space="preserve">카피 메시지 성과 패턴</t>
  </si>
  <si>
    <r>
      <rPr>
        <i val="true"/>
        <sz val="9"/>
        <color rgb="FF6B7280"/>
        <rFont val="Noto Sans CJK SC"/>
        <family val="2"/>
      </rPr>
      <t xml:space="preserve">노출을 확보한 카피 </t>
    </r>
    <r>
      <rPr>
        <i val="true"/>
        <sz val="9"/>
        <color rgb="FF6B7280"/>
        <rFont val="Arial"/>
        <family val="0"/>
        <charset val="1"/>
      </rPr>
      <t xml:space="preserve">vs </t>
    </r>
    <r>
      <rPr>
        <i val="true"/>
        <sz val="9"/>
        <color rgb="FF6B7280"/>
        <rFont val="Noto Sans CJK SC"/>
        <family val="2"/>
      </rPr>
      <t xml:space="preserve">확보 실패 카피</t>
    </r>
  </si>
  <si>
    <t xml:space="preserve">승자 카피</t>
  </si>
  <si>
    <t xml:space="preserve">패턴 해석</t>
  </si>
  <si>
    <t xml:space="preserve">승리 패턴</t>
  </si>
  <si>
    <t xml:space="preserve">예시</t>
  </si>
  <si>
    <t xml:space="preserve">실패 패턴</t>
  </si>
  <si>
    <t xml:space="preserve">호기심 자극형 질문</t>
  </si>
  <si>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그게 뭔데요</t>
    </r>
    <r>
      <rPr>
        <sz val="10"/>
        <rFont val="Arial"/>
        <family val="0"/>
        <charset val="1"/>
      </rPr>
      <t xml:space="preserve">? (CTR 8.54%)</t>
    </r>
  </si>
  <si>
    <t xml:space="preserve">자기소개형</t>
  </si>
  <si>
    <r>
      <rPr>
        <sz val="10"/>
        <rFont val="Noto Sans CJK SC"/>
        <family val="2"/>
      </rPr>
      <t xml:space="preserve">안녕하세요십이화입니다잘부탁드립니다 </t>
    </r>
    <r>
      <rPr>
        <sz val="10"/>
        <rFont val="Arial"/>
        <family val="0"/>
        <charset val="1"/>
      </rPr>
      <t xml:space="preserve">(0</t>
    </r>
    <r>
      <rPr>
        <sz val="10"/>
        <rFont val="Noto Sans CJK SC"/>
        <family val="2"/>
      </rPr>
      <t xml:space="preserve">노출</t>
    </r>
    <r>
      <rPr>
        <sz val="10"/>
        <rFont val="Arial"/>
        <family val="0"/>
        <charset val="1"/>
      </rPr>
      <t xml:space="preserve">)</t>
    </r>
  </si>
  <si>
    <t xml:space="preserve">구체적 세계관 소구</t>
  </si>
  <si>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단풍의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(CTR 7.37%)</t>
    </r>
  </si>
  <si>
    <t xml:space="preserve">브랜드명 나열형</t>
  </si>
  <si>
    <r>
      <rPr>
        <sz val="10"/>
        <rFont val="Noto Sans CJK SC"/>
        <family val="2"/>
      </rPr>
      <t xml:space="preserve">십이화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내가 키우는 나만의 덱 </t>
    </r>
    <r>
      <rPr>
        <sz val="10"/>
        <rFont val="Arial"/>
        <family val="0"/>
        <charset val="1"/>
      </rPr>
      <t xml:space="preserve">(0</t>
    </r>
    <r>
      <rPr>
        <sz val="10"/>
        <rFont val="Noto Sans CJK SC"/>
        <family val="2"/>
      </rPr>
      <t xml:space="preserve">노출</t>
    </r>
    <r>
      <rPr>
        <sz val="10"/>
        <rFont val="Arial"/>
        <family val="0"/>
        <charset val="1"/>
      </rPr>
      <t xml:space="preserve">)</t>
    </r>
  </si>
  <si>
    <t xml:space="preserve">게임 규칙 명시</t>
  </si>
  <si>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목표 점수는 치솟는다 </t>
    </r>
    <r>
      <rPr>
        <sz val="10"/>
        <rFont val="Arial"/>
        <family val="0"/>
        <charset val="1"/>
      </rPr>
      <t xml:space="preserve">(CTR 8.61%)</t>
    </r>
  </si>
  <si>
    <t xml:space="preserve">추상적 감성 문구</t>
  </si>
  <si>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장이 만드는 수백 가지 조합 </t>
    </r>
    <r>
      <rPr>
        <sz val="10"/>
        <rFont val="Arial"/>
        <family val="0"/>
        <charset val="1"/>
      </rPr>
      <t xml:space="preserve">(0</t>
    </r>
    <r>
      <rPr>
        <sz val="10"/>
        <rFont val="Noto Sans CJK SC"/>
        <family val="2"/>
      </rPr>
      <t xml:space="preserve">노출</t>
    </r>
    <r>
      <rPr>
        <sz val="10"/>
        <rFont val="Arial"/>
        <family val="0"/>
        <charset val="1"/>
      </rPr>
      <t xml:space="preserve">)</t>
    </r>
  </si>
  <si>
    <t xml:space="preserve">장르 키워드 직격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</si>
  <si>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월부터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월의 로그라이크 덱빌더 </t>
    </r>
    <r>
      <rPr>
        <sz val="10"/>
        <rFont val="Arial"/>
        <family val="0"/>
        <charset val="1"/>
      </rPr>
      <t xml:space="preserve">(CTR 7.80%)</t>
    </r>
  </si>
  <si>
    <r>
      <rPr>
        <sz val="10"/>
        <rFont val="Noto Sans CJK SC"/>
        <family val="2"/>
      </rPr>
      <t xml:space="preserve">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은어 의존</t>
    </r>
  </si>
  <si>
    <r>
      <rPr>
        <sz val="10"/>
        <rFont val="Noto Sans CJK SC"/>
        <family val="2"/>
      </rPr>
      <t xml:space="preserve">멈추면 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지르면 남자 </t>
    </r>
    <r>
      <rPr>
        <sz val="10"/>
        <rFont val="Arial"/>
        <family val="0"/>
        <charset val="1"/>
      </rPr>
      <t xml:space="preserve">(0</t>
    </r>
    <r>
      <rPr>
        <sz val="10"/>
        <rFont val="Noto Sans CJK SC"/>
        <family val="2"/>
      </rPr>
      <t xml:space="preserve">노출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</si>
  <si>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B42318"/>
        <rFont val="Noto Sans CJK SC"/>
        <family val="2"/>
      </rPr>
      <t xml:space="preserve">알고리즘이 이미 승자를 지목했으나</t>
    </r>
    <r>
      <rPr>
        <b val="true"/>
        <sz val="10"/>
        <color rgb="FFB42318"/>
        <rFont val="Arial"/>
        <family val="0"/>
        <charset val="1"/>
      </rPr>
      <t xml:space="preserve">, 8/11 </t>
    </r>
    <r>
      <rPr>
        <b val="true"/>
        <sz val="10"/>
        <color rgb="FFB42318"/>
        <rFont val="Noto Sans CJK SC"/>
        <family val="2"/>
      </rPr>
      <t xml:space="preserve">교체 시 이 방향과 무관한 카피로 전량 대체됨</t>
    </r>
    <r>
      <rPr>
        <b val="true"/>
        <sz val="10"/>
        <color rgb="FFB42318"/>
        <rFont val="Arial"/>
        <family val="0"/>
        <charset val="1"/>
      </rPr>
      <t xml:space="preserve">.</t>
    </r>
  </si>
  <si>
    <t xml:space="preserve">우선순위 액션 플랜</t>
  </si>
  <si>
    <t xml:space="preserve">순위</t>
  </si>
  <si>
    <t xml:space="preserve">기한</t>
  </si>
  <si>
    <t xml:space="preserve">조치</t>
  </si>
  <si>
    <t xml:space="preserve">근거</t>
  </si>
  <si>
    <t xml:space="preserve">기대 효과</t>
  </si>
  <si>
    <t xml:space="preserve">오늘</t>
  </si>
  <si>
    <r>
      <rPr>
        <sz val="10"/>
        <rFont val="Noto Sans CJK SC"/>
        <family val="2"/>
      </rPr>
      <t xml:space="preserve">광고 제목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사용 불가</t>
    </r>
    <r>
      <rPr>
        <sz val="10"/>
        <rFont val="Arial"/>
        <family val="0"/>
        <charset val="1"/>
      </rPr>
      <t xml:space="preserve">' 13</t>
    </r>
    <r>
      <rPr>
        <sz val="10"/>
        <rFont val="Noto Sans CJK SC"/>
        <family val="2"/>
      </rPr>
      <t xml:space="preserve">건 사유 확인 후 승인 통과 버전 복구</t>
    </r>
  </si>
  <si>
    <r>
      <rPr>
        <sz val="10"/>
        <rFont val="Noto Sans CJK SC"/>
        <family val="2"/>
      </rPr>
      <t xml:space="preserve">사용 가능 제목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게재 차단 가능성</t>
    </r>
  </si>
  <si>
    <t xml:space="preserve">게재 정상화</t>
  </si>
  <si>
    <r>
      <rPr>
        <sz val="10"/>
        <rFont val="Noto Sans CJK SC"/>
        <family val="2"/>
      </rPr>
      <t xml:space="preserve">전환 이벤트를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튜토리얼 완료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'1</t>
    </r>
    <r>
      <rPr>
        <sz val="10"/>
        <rFont val="Noto Sans CJK SC"/>
        <family val="2"/>
      </rPr>
      <t xml:space="preserve">판 클리어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재정의</t>
    </r>
  </si>
  <si>
    <r>
      <rPr>
        <sz val="10"/>
        <rFont val="Noto Sans CJK SC"/>
        <family val="2"/>
      </rPr>
      <t xml:space="preserve">전환 </t>
    </r>
    <r>
      <rPr>
        <sz val="10"/>
        <rFont val="Arial"/>
        <family val="0"/>
        <charset val="1"/>
      </rPr>
      <t xml:space="preserve">380 &gt; </t>
    </r>
    <r>
      <rPr>
        <sz val="10"/>
        <rFont val="Noto Sans CJK SC"/>
        <family val="2"/>
      </rPr>
      <t xml:space="preserve">클릭 </t>
    </r>
    <r>
      <rPr>
        <sz val="10"/>
        <rFont val="Arial"/>
        <family val="0"/>
        <charset val="1"/>
      </rPr>
      <t xml:space="preserve">325 = </t>
    </r>
    <r>
      <rPr>
        <sz val="10"/>
        <rFont val="Noto Sans CJK SC"/>
        <family val="2"/>
      </rPr>
      <t xml:space="preserve">정의 오류</t>
    </r>
  </si>
  <si>
    <t xml:space="preserve">입찰 신호 정상화</t>
  </si>
  <si>
    <r>
      <rPr>
        <sz val="10"/>
        <rFont val="Noto Sans CJK SC"/>
        <family val="2"/>
      </rPr>
      <t xml:space="preserve">입찰을 전환최대화 → 클릭최대화 </t>
    </r>
    <r>
      <rPr>
        <sz val="10"/>
        <rFont val="Arial"/>
        <family val="0"/>
        <charset val="1"/>
      </rPr>
      <t xml:space="preserve">+ CPC </t>
    </r>
    <r>
      <rPr>
        <sz val="10"/>
        <rFont val="Noto Sans CJK SC"/>
        <family val="2"/>
      </rPr>
      <t xml:space="preserve">상한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원으로 변경</t>
    </r>
  </si>
  <si>
    <r>
      <rPr>
        <sz val="10"/>
        <rFont val="Noto Sans CJK SC"/>
        <family val="2"/>
      </rPr>
      <t xml:space="preserve">전환 </t>
    </r>
    <r>
      <rPr>
        <sz val="10"/>
        <rFont val="Arial"/>
        <family val="0"/>
        <charset val="1"/>
      </rPr>
      <t xml:space="preserve">30~50</t>
    </r>
    <r>
      <rPr>
        <sz val="10"/>
        <rFont val="Noto Sans CJK SC"/>
        <family val="2"/>
      </rPr>
      <t xml:space="preserve">건 축적 전까지 학습 불가</t>
    </r>
  </si>
  <si>
    <r>
      <rPr>
        <sz val="10"/>
        <rFont val="Arial"/>
        <family val="0"/>
        <charset val="1"/>
      </rPr>
      <t xml:space="preserve">CPM 11,819</t>
    </r>
    <r>
      <rPr>
        <sz val="10"/>
        <rFont val="Noto Sans CJK SC"/>
        <family val="2"/>
      </rPr>
      <t xml:space="preserve">원 정상화</t>
    </r>
  </si>
  <si>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시간</t>
    </r>
  </si>
  <si>
    <r>
      <rPr>
        <sz val="10"/>
        <rFont val="Noto Sans CJK SC"/>
        <family val="2"/>
      </rPr>
      <t xml:space="preserve">삭제한 정사각형 영상</t>
    </r>
    <r>
      <rPr>
        <sz val="10"/>
        <rFont val="Arial"/>
        <family val="0"/>
        <charset val="1"/>
      </rPr>
      <t xml:space="preserve">(7anhuGonaHU) </t>
    </r>
    <r>
      <rPr>
        <sz val="10"/>
        <rFont val="Noto Sans CJK SC"/>
        <family val="2"/>
      </rPr>
      <t xml:space="preserve">복원</t>
    </r>
  </si>
  <si>
    <r>
      <rPr>
        <sz val="10"/>
        <rFont val="Arial"/>
        <family val="0"/>
        <charset val="1"/>
      </rPr>
      <t xml:space="preserve">CPC 113</t>
    </r>
    <r>
      <rPr>
        <sz val="10"/>
        <rFont val="Noto Sans CJK SC"/>
        <family val="2"/>
      </rPr>
      <t xml:space="preserve">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잔존 소재보다 </t>
    </r>
    <r>
      <rPr>
        <sz val="10"/>
        <rFont val="Arial"/>
        <family val="0"/>
        <charset val="1"/>
      </rPr>
      <t xml:space="preserve">73% </t>
    </r>
    <r>
      <rPr>
        <sz val="10"/>
        <rFont val="Noto Sans CJK SC"/>
        <family val="2"/>
      </rPr>
      <t xml:space="preserve">저렴</t>
    </r>
  </si>
  <si>
    <r>
      <rPr>
        <sz val="10"/>
        <rFont val="Arial"/>
        <family val="0"/>
        <charset val="1"/>
      </rPr>
      <t xml:space="preserve">CPC </t>
    </r>
    <r>
      <rPr>
        <sz val="10"/>
        <rFont val="Noto Sans CJK SC"/>
        <family val="2"/>
      </rPr>
      <t xml:space="preserve">절감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</si>
  <si>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제한됨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텍스트 애셋 제한 사유 해소</t>
    </r>
  </si>
  <si>
    <t xml:space="preserve">실적 상위 카피가 제한 상태</t>
  </si>
  <si>
    <t xml:space="preserve">노출 회복</t>
  </si>
  <si>
    <r>
      <rPr>
        <sz val="10"/>
        <rFont val="Arial"/>
        <family val="0"/>
        <charset val="1"/>
      </rPr>
      <t xml:space="preserve">app_load_start / app_load_complete / tutorial_start </t>
    </r>
    <r>
      <rPr>
        <sz val="10"/>
        <rFont val="Noto Sans CJK SC"/>
        <family val="2"/>
      </rPr>
      <t xml:space="preserve">이벤트 추가</t>
    </r>
  </si>
  <si>
    <r>
      <rPr>
        <sz val="10"/>
        <rFont val="Arial"/>
        <family val="0"/>
        <charset val="1"/>
      </rPr>
      <t xml:space="preserve">6.5</t>
    </r>
    <r>
      <rPr>
        <sz val="10"/>
        <rFont val="Noto Sans CJK SC"/>
        <family val="2"/>
      </rPr>
      <t xml:space="preserve">초 이탈 원인 미확정</t>
    </r>
  </si>
  <si>
    <r>
      <rPr>
        <sz val="10"/>
        <rFont val="Noto Sans CJK SC"/>
        <family val="2"/>
      </rPr>
      <t xml:space="preserve">가설 </t>
    </r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판별</t>
    </r>
  </si>
  <si>
    <t xml:space="preserve">다음 주</t>
  </si>
  <si>
    <r>
      <rPr>
        <sz val="10"/>
        <rFont val="Noto Sans CJK SC"/>
        <family val="2"/>
      </rPr>
      <t xml:space="preserve">소재 교체 동결 — 최소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유지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</si>
  <si>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회 학습 리셋</t>
    </r>
  </si>
  <si>
    <t xml:space="preserve">학습 완료</t>
  </si>
  <si>
    <t xml:space="preserve">확인 요</t>
  </si>
  <si>
    <r>
      <rPr>
        <sz val="10"/>
        <rFont val="Noto Sans CJK SC"/>
        <family val="2"/>
      </rPr>
      <t xml:space="preserve">인원 </t>
    </r>
    <r>
      <rPr>
        <sz val="10"/>
        <rFont val="Arial"/>
        <family val="0"/>
        <charset val="1"/>
      </rPr>
      <t xml:space="preserve">239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vs Firebase 30</t>
    </r>
    <r>
      <rPr>
        <sz val="10"/>
        <rFont val="Noto Sans CJK SC"/>
        <family val="2"/>
      </rPr>
      <t xml:space="preserve">일 활성 </t>
    </r>
    <r>
      <rPr>
        <sz val="10"/>
        <rFont val="Arial"/>
        <family val="0"/>
        <charset val="1"/>
      </rPr>
      <t xml:space="preserve">316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(8/10) </t>
    </r>
    <r>
      <rPr>
        <sz val="10"/>
        <rFont val="Noto Sans CJK SC"/>
        <family val="2"/>
      </rPr>
      <t xml:space="preserve">불일치 검증</t>
    </r>
  </si>
  <si>
    <t xml:space="preserve">집계 기준 상이 가능</t>
  </si>
  <si>
    <t xml:space="preserve">지표 신뢰도</t>
  </si>
  <si>
    <t xml:space="preserve">전략 재정의 제안</t>
  </si>
  <si>
    <r>
      <rPr>
        <sz val="10"/>
        <rFont val="Noto Sans CJK SC"/>
        <family val="2"/>
      </rPr>
      <t xml:space="preserve">무과금 웹게임은 </t>
    </r>
    <r>
      <rPr>
        <sz val="10"/>
        <rFont val="Arial"/>
        <family val="0"/>
        <charset val="1"/>
      </rPr>
      <t xml:space="preserve">LTV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에 수렴하므로 유료 </t>
    </r>
    <r>
      <rPr>
        <sz val="10"/>
        <rFont val="Arial"/>
        <family val="0"/>
        <charset val="1"/>
      </rPr>
      <t xml:space="preserve">UA</t>
    </r>
    <r>
      <rPr>
        <sz val="10"/>
        <rFont val="Noto Sans CJK SC"/>
        <family val="2"/>
      </rPr>
      <t xml:space="preserve">로 회수가 불가합니다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광고 목적을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유저 획득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아니라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</si>
  <si>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후킹 테스트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초기 커뮤니티 시딩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재정의하고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예산은 클릭 이후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초 문제를 해결한 뒤 증액하는 것이 합리적입니다</t>
    </r>
    <r>
      <rPr>
        <sz val="10"/>
        <rFont val="Arial"/>
        <family val="0"/>
        <charset val="1"/>
      </rPr>
      <t xml:space="preserve">.</t>
    </r>
  </si>
  <si>
    <t xml:space="preserve">데이터 출처 및 가정</t>
  </si>
  <si>
    <t xml:space="preserve">항목</t>
  </si>
  <si>
    <t xml:space="preserve">내용</t>
  </si>
  <si>
    <t xml:space="preserve">광고 데이터 출처</t>
  </si>
  <si>
    <r>
      <rPr>
        <sz val="10"/>
        <rFont val="Noto Sans CJK SC"/>
        <family val="2"/>
      </rPr>
      <t xml:space="preserve">애셋 그룹 애셋 세부정보 보고서</t>
    </r>
    <r>
      <rPr>
        <sz val="10"/>
        <rFont val="Arial"/>
        <family val="0"/>
        <charset val="1"/>
      </rPr>
      <t xml:space="preserve">-4.xlsx (2026.08.07~08.12, Google Ads Performance Max)</t>
    </r>
  </si>
  <si>
    <r>
      <rPr>
        <sz val="10"/>
        <rFont val="Arial"/>
        <family val="0"/>
        <charset val="1"/>
      </rPr>
      <t xml:space="preserve">Firebase </t>
    </r>
    <r>
      <rPr>
        <sz val="10"/>
        <rFont val="Noto Sans CJK SC"/>
        <family val="2"/>
      </rPr>
      <t xml:space="preserve">데이터 출처</t>
    </r>
  </si>
  <si>
    <r>
      <rPr>
        <sz val="10"/>
        <rFont val="Arial"/>
        <family val="0"/>
        <charset val="1"/>
      </rPr>
      <t xml:space="preserve">Firebase_</t>
    </r>
    <r>
      <rPr>
        <sz val="10"/>
        <rFont val="Noto Sans CJK SC"/>
        <family val="2"/>
      </rPr>
      <t xml:space="preserve">개요</t>
    </r>
    <r>
      <rPr>
        <sz val="10"/>
        <rFont val="Arial"/>
        <family val="0"/>
        <charset val="1"/>
      </rPr>
      <t xml:space="preserve">.csv (</t>
    </r>
    <r>
      <rPr>
        <sz val="10"/>
        <rFont val="Noto Sans CJK SC"/>
        <family val="2"/>
      </rPr>
      <t xml:space="preserve">속성 </t>
    </r>
    <r>
      <rPr>
        <sz val="10"/>
        <rFont val="Arial"/>
        <family val="0"/>
        <charset val="1"/>
      </rPr>
      <t xml:space="preserve">hwatro-00, 2026.07.15~08.11)</t>
    </r>
  </si>
  <si>
    <t xml:space="preserve">사용자 제공 수치</t>
  </si>
  <si>
    <r>
      <rPr>
        <sz val="10"/>
        <rFont val="Noto Sans CJK SC"/>
        <family val="2"/>
      </rPr>
      <t xml:space="preserve">인원 </t>
    </r>
    <r>
      <rPr>
        <sz val="10"/>
        <rFont val="Arial"/>
        <family val="0"/>
        <charset val="1"/>
      </rPr>
      <t xml:space="preserve">239 (8/10</t>
    </r>
    <r>
      <rPr>
        <sz val="10"/>
        <rFont val="Noto Sans CJK SC"/>
        <family val="2"/>
      </rPr>
      <t xml:space="preserve">까지</t>
    </r>
    <r>
      <rPr>
        <sz val="10"/>
        <rFont val="Arial"/>
        <family val="0"/>
        <charset val="1"/>
      </rPr>
      <t xml:space="preserve">), session_start 262, session_end 44 (unique 27)</t>
    </r>
  </si>
  <si>
    <t xml:space="preserve">캠페인 총계 산정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</si>
  <si>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캠페인 수준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행을 총계로 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애셋별 행은 중복 귀속이므로 합산하지 않음</t>
    </r>
  </si>
  <si>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일 인덱스 기준</t>
    </r>
  </si>
  <si>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0000 = 2026-07-15. 0023 = 08-07(</t>
    </r>
    <r>
      <rPr>
        <sz val="10"/>
        <rFont val="Noto Sans CJK SC"/>
        <family val="2"/>
      </rPr>
      <t xml:space="preserve">광고 개시</t>
    </r>
    <r>
      <rPr>
        <sz val="10"/>
        <rFont val="Arial"/>
        <family val="0"/>
        <charset val="1"/>
      </rPr>
      <t xml:space="preserve">), 0027 = 08-11</t>
    </r>
  </si>
  <si>
    <t xml:space="preserve">참여 유저 추정치</t>
  </si>
  <si>
    <r>
      <rPr>
        <sz val="10"/>
        <rFont val="Noto Sans CJK SC"/>
        <family val="2"/>
      </rPr>
      <t xml:space="preserve">참여세션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사용자 </t>
    </r>
    <r>
      <rPr>
        <sz val="10"/>
        <rFont val="Arial"/>
        <family val="0"/>
        <charset val="1"/>
      </rPr>
      <t xml:space="preserve">0.33(8/10</t>
    </r>
    <r>
      <rPr>
        <sz val="10"/>
        <rFont val="Noto Sans CJK SC"/>
        <family val="2"/>
      </rPr>
      <t xml:space="preserve">값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인원 </t>
    </r>
    <r>
      <rPr>
        <sz val="10"/>
        <rFont val="Arial"/>
        <family val="0"/>
        <charset val="1"/>
      </rPr>
      <t xml:space="preserve">239 =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79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추정치이며 실측 아님</t>
    </r>
  </si>
  <si>
    <t xml:space="preserve">리텐션 벤치마크</t>
  </si>
  <si>
    <r>
      <rPr>
        <sz val="10"/>
        <rFont val="Noto Sans CJK SC"/>
        <family val="2"/>
      </rPr>
      <t xml:space="preserve">캐주얼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하이퍼캐주얼 게임 업계 통상 범위</t>
    </r>
    <r>
      <rPr>
        <sz val="10"/>
        <rFont val="Arial"/>
        <family val="0"/>
        <charset val="1"/>
      </rPr>
      <t xml:space="preserve">(D1 25~30%)</t>
    </r>
    <r>
      <rPr>
        <sz val="10"/>
        <rFont val="Noto Sans CJK SC"/>
        <family val="2"/>
      </rPr>
      <t xml:space="preserve">를 참조값으로 표기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외부 추정치</t>
    </r>
  </si>
  <si>
    <t xml:space="preserve">참여세션 정의</t>
  </si>
  <si>
    <r>
      <rPr>
        <sz val="10"/>
        <rFont val="Arial"/>
        <family val="0"/>
        <charset val="1"/>
      </rPr>
      <t xml:space="preserve">GA4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초 이상 지속 또는 전환 발생 또는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이상 화면 조회 세션</t>
    </r>
  </si>
  <si>
    <t xml:space="preserve">session_end</t>
  </si>
  <si>
    <r>
      <rPr>
        <sz val="10"/>
        <rFont val="Arial"/>
        <family val="0"/>
        <charset val="1"/>
      </rPr>
      <t xml:space="preserve">GA4 </t>
    </r>
    <r>
      <rPr>
        <sz val="10"/>
        <rFont val="Noto Sans CJK SC"/>
        <family val="2"/>
      </rPr>
      <t xml:space="preserve">웹 표준 이벤트가 아님 → 커스텀 구현으로 추정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정의 확인 필요</t>
    </r>
  </si>
  <si>
    <t xml:space="preserve">통화</t>
  </si>
  <si>
    <r>
      <rPr>
        <sz val="10"/>
        <rFont val="Noto Sans CJK SC"/>
        <family val="2"/>
      </rPr>
      <t xml:space="preserve">전액 </t>
    </r>
    <r>
      <rPr>
        <sz val="10"/>
        <rFont val="Arial"/>
        <family val="0"/>
        <charset val="1"/>
      </rPr>
      <t xml:space="preserve">KRW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</si>
</sst>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#,##0\원"/>
    <numFmt numFmtId="168" formatCode="#,##0.0\초"/>
    <numFmt numFmtId="169" formatCode="0.0%"/>
    <numFmt numFmtId="170" formatCode="#,##0.0"/>
    <numFmt numFmtId="171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7"/>
      <name val="Noto Sans CJK SC"/>
      <family val="2"/>
    </font>
    <font>
      <b val="true"/>
      <sz val="15"/>
      <color rgb="FF1F2937"/>
      <name val="Arial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Arial"/>
      <family val="0"/>
      <charset val="1"/>
    </font>
    <font>
      <b val="true"/>
      <sz val="11"/>
      <color rgb="FFB42318"/>
      <name val="Noto Sans CJK SC"/>
      <family val="2"/>
    </font>
    <font>
      <b val="true"/>
      <sz val="11"/>
      <color rgb="FFB42318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B42318"/>
      <name val="Noto Sans CJK SC"/>
      <family val="2"/>
    </font>
    <font>
      <b val="true"/>
      <sz val="12"/>
      <name val="Noto Sans CJK SC"/>
      <family val="2"/>
    </font>
    <font>
      <b val="true"/>
      <sz val="10"/>
      <color rgb="FFB42318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EEF2F7"/>
        <bgColor rgb="FFE3F2E1"/>
      </patternFill>
    </fill>
    <fill>
      <patternFill patternType="solid">
        <fgColor rgb="FFFFF7CC"/>
        <bgColor rgb="FFE3F2E1"/>
      </patternFill>
    </fill>
    <fill>
      <patternFill patternType="solid">
        <fgColor rgb="FFE3F2E1"/>
        <bgColor rgb="FFEEF2F7"/>
      </patternFill>
    </fill>
    <fill>
      <patternFill patternType="solid">
        <fgColor rgb="FFFDE2E1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7CC"/>
      <rgbColor rgb="FFEEF2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1"/>
      <rgbColor rgb="FFFFFF99"/>
      <rgbColor rgb="FF99CCFF"/>
      <rgbColor rgb="FFFF99CC"/>
      <rgbColor rgb="FFCC99FF"/>
      <rgbColor rgb="FFFDE2E1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4F81BD"/>
      <rgbColor rgb="FF003300"/>
      <rgbColor rgb="FF333300"/>
      <rgbColor rgb="FFB42318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퍼널 단계별 인원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'3_퍼널'!B4</c:f>
              <c:strCache>
                <c:ptCount val="1"/>
                <c:pt idx="0">
                  <c:v>값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'3_퍼널'!$A$5:$A$10</c:f>
              <c:strCache>
                <c:ptCount val="6"/>
                <c:pt idx="0">
                  <c:v>노출</c:v>
                </c:pt>
                <c:pt idx="1">
                  <c:v>클릭</c:v>
                </c:pt>
                <c:pt idx="2">
                  <c:v>Firebase 인원</c:v>
                </c:pt>
                <c:pt idx="3">
                  <c:v>session_start</c:v>
                </c:pt>
                <c:pt idx="4">
                  <c:v>참여세션(10초+) 추정</c:v>
                </c:pt>
                <c:pt idx="5">
                  <c:v>session_end(unique)</c:v>
                </c:pt>
              </c:strCache>
            </c:strRef>
          </c:cat>
          <c:val>
            <c:numRef>
              <c:f>'3_퍼널'!$B$5:$B$10</c:f>
              <c:numCache>
                <c:formatCode>#,##0</c:formatCode>
                <c:ptCount val="6"/>
                <c:pt idx="0">
                  <c:v>4399</c:v>
                </c:pt>
                <c:pt idx="1">
                  <c:v>325</c:v>
                </c:pt>
                <c:pt idx="2">
                  <c:v>239</c:v>
                </c:pt>
                <c:pt idx="3">
                  <c:v>262</c:v>
                </c:pt>
                <c:pt idx="4">
                  <c:v>79</c:v>
                </c:pt>
                <c:pt idx="5">
                  <c:v>27</c:v>
                </c:pt>
              </c:numCache>
            </c:numRef>
          </c:val>
        </c:ser>
        <c:gapWidth val="150"/>
        <c:overlap val="0"/>
        <c:axId val="11487807"/>
        <c:axId val="22963891"/>
      </c:barChart>
      <c:catAx>
        <c:axId val="1148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63891"/>
        <c:crosses val="autoZero"/>
        <c:auto val="1"/>
        <c:lblAlgn val="ctr"/>
        <c:lblOffset val="100"/>
        <c:noMultiLvlLbl val="0"/>
      </c:catAx>
      <c:valAx>
        <c:axId val="22963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4878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사용자당 평균 참여시간(초)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'4_Firebase일별'!F4</c:f>
              <c:strCache>
                <c:ptCount val="1"/>
                <c:pt idx="0">
                  <c:v>사용자당 참여시간(초)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'4_Firebase일별'!$A$5:$A$16</c:f>
              <c:strCache>
                <c:ptCount val="12"/>
                <c:pt idx="0">
                  <c:v>2026-07-31</c:v>
                </c:pt>
                <c:pt idx="1">
                  <c:v>2026-08-01</c:v>
                </c:pt>
                <c:pt idx="2">
                  <c:v>2026-08-02</c:v>
                </c:pt>
                <c:pt idx="3">
                  <c:v>2026-08-03</c:v>
                </c:pt>
                <c:pt idx="4">
                  <c:v>2026-08-04</c:v>
                </c:pt>
                <c:pt idx="5">
                  <c:v>2026-08-05</c:v>
                </c:pt>
                <c:pt idx="6">
                  <c:v>2026-08-06</c:v>
                </c:pt>
                <c:pt idx="7">
                  <c:v>2026-08-07</c:v>
                </c:pt>
                <c:pt idx="8">
                  <c:v>2026-08-08</c:v>
                </c:pt>
                <c:pt idx="9">
                  <c:v>2026-08-09</c:v>
                </c:pt>
                <c:pt idx="10">
                  <c:v>2026-08-10</c:v>
                </c:pt>
                <c:pt idx="11">
                  <c:v>2026-08-11</c:v>
                </c:pt>
              </c:strCache>
            </c:strRef>
          </c:cat>
          <c:val>
            <c:numRef>
              <c:f>'4_Firebase일별'!$F$5:$F$16</c:f>
              <c:numCache>
                <c:formatCode>#,##0.0</c:formatCode>
                <c:ptCount val="12"/>
                <c:pt idx="0">
                  <c:v>545.818181818182</c:v>
                </c:pt>
                <c:pt idx="1">
                  <c:v>428.125</c:v>
                </c:pt>
                <c:pt idx="2">
                  <c:v>259.333333333333</c:v>
                </c:pt>
                <c:pt idx="3">
                  <c:v>418</c:v>
                </c:pt>
                <c:pt idx="4">
                  <c:v>211.772727272727</c:v>
                </c:pt>
                <c:pt idx="5">
                  <c:v>369.6</c:v>
                </c:pt>
                <c:pt idx="6">
                  <c:v>238.947368421053</c:v>
                </c:pt>
                <c:pt idx="7">
                  <c:v>197.866666666667</c:v>
                </c:pt>
                <c:pt idx="8">
                  <c:v>69.037037037037</c:v>
                </c:pt>
                <c:pt idx="9">
                  <c:v>16.9407407407407</c:v>
                </c:pt>
                <c:pt idx="10">
                  <c:v>13.8541666666667</c:v>
                </c:pt>
                <c:pt idx="11">
                  <c:v>6.52631578947368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75087"/>
        <c:axId val="99047185"/>
      </c:lineChart>
      <c:catAx>
        <c:axId val="1507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047185"/>
        <c:crosses val="autoZero"/>
        <c:auto val="1"/>
        <c:lblAlgn val="ctr"/>
        <c:lblOffset val="100"/>
        <c:noMultiLvlLbl val="0"/>
      </c:catAx>
      <c:valAx>
        <c:axId val="99047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0750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1일 활성 사용자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'4_Firebase일별'!C4</c:f>
              <c:strCache>
                <c:ptCount val="1"/>
                <c:pt idx="0">
                  <c:v>1일 활성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'4_Firebase일별'!$A$5:$A$16</c:f>
              <c:strCache>
                <c:ptCount val="12"/>
                <c:pt idx="0">
                  <c:v>2026-07-31</c:v>
                </c:pt>
                <c:pt idx="1">
                  <c:v>2026-08-01</c:v>
                </c:pt>
                <c:pt idx="2">
                  <c:v>2026-08-02</c:v>
                </c:pt>
                <c:pt idx="3">
                  <c:v>2026-08-03</c:v>
                </c:pt>
                <c:pt idx="4">
                  <c:v>2026-08-04</c:v>
                </c:pt>
                <c:pt idx="5">
                  <c:v>2026-08-05</c:v>
                </c:pt>
                <c:pt idx="6">
                  <c:v>2026-08-06</c:v>
                </c:pt>
                <c:pt idx="7">
                  <c:v>2026-08-07</c:v>
                </c:pt>
                <c:pt idx="8">
                  <c:v>2026-08-08</c:v>
                </c:pt>
                <c:pt idx="9">
                  <c:v>2026-08-09</c:v>
                </c:pt>
                <c:pt idx="10">
                  <c:v>2026-08-10</c:v>
                </c:pt>
                <c:pt idx="11">
                  <c:v>2026-08-11</c:v>
                </c:pt>
              </c:strCache>
            </c:strRef>
          </c:cat>
          <c:val>
            <c:numRef>
              <c:f>'4_Firebase일별'!$C$5:$C$16</c:f>
              <c:numCache>
                <c:formatCode>#,##0</c:formatCode>
                <c:ptCount val="12"/>
                <c:pt idx="0">
                  <c:v>11</c:v>
                </c:pt>
                <c:pt idx="1">
                  <c:v>16</c:v>
                </c:pt>
                <c:pt idx="2">
                  <c:v>6</c:v>
                </c:pt>
                <c:pt idx="3">
                  <c:v>33</c:v>
                </c:pt>
                <c:pt idx="4">
                  <c:v>22</c:v>
                </c:pt>
                <c:pt idx="5">
                  <c:v>5</c:v>
                </c:pt>
                <c:pt idx="6">
                  <c:v>19</c:v>
                </c:pt>
                <c:pt idx="7">
                  <c:v>30</c:v>
                </c:pt>
                <c:pt idx="8">
                  <c:v>27</c:v>
                </c:pt>
                <c:pt idx="9">
                  <c:v>135</c:v>
                </c:pt>
                <c:pt idx="10">
                  <c:v>48</c:v>
                </c:pt>
                <c:pt idx="11">
                  <c:v>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080428"/>
        <c:axId val="32547568"/>
      </c:lineChart>
      <c:catAx>
        <c:axId val="78080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47568"/>
        <c:crosses val="autoZero"/>
        <c:auto val="1"/>
        <c:lblAlgn val="ctr"/>
        <c:lblOffset val="100"/>
        <c:noMultiLvlLbl val="0"/>
      </c:catAx>
      <c:valAx>
        <c:axId val="32547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0804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리텐션 커브 vs 벤치마크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'5_리텐션'!B4</c:f>
              <c:strCache>
                <c:ptCount val="1"/>
                <c:pt idx="0">
                  <c:v>리텐션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'5_리텐션'!$A$5:$A$17</c:f>
              <c:strCache>
                <c:ptCount val="13"/>
                <c:pt idx="0">
                  <c:v>D0</c:v>
                </c:pt>
                <c:pt idx="1">
                  <c:v>D1</c:v>
                </c:pt>
                <c:pt idx="2">
                  <c:v>D2</c:v>
                </c:pt>
                <c:pt idx="3">
                  <c:v>D3</c:v>
                </c:pt>
                <c:pt idx="4">
                  <c:v>D4</c:v>
                </c:pt>
                <c:pt idx="5">
                  <c:v>D5</c:v>
                </c:pt>
                <c:pt idx="6">
                  <c:v>D6</c:v>
                </c:pt>
                <c:pt idx="7">
                  <c:v>D7</c:v>
                </c:pt>
                <c:pt idx="8">
                  <c:v>D8</c:v>
                </c:pt>
                <c:pt idx="9">
                  <c:v>D9</c:v>
                </c:pt>
                <c:pt idx="10">
                  <c:v>D10</c:v>
                </c:pt>
                <c:pt idx="11">
                  <c:v>D11</c:v>
                </c:pt>
                <c:pt idx="12">
                  <c:v>D12</c:v>
                </c:pt>
              </c:strCache>
            </c:strRef>
          </c:cat>
          <c:val>
            <c:numRef>
              <c:f>'5_리텐션'!$B$5:$B$17</c:f>
              <c:numCache>
                <c:formatCode>0.00%</c:formatCode>
                <c:ptCount val="13"/>
                <c:pt idx="0">
                  <c:v>1</c:v>
                </c:pt>
                <c:pt idx="1">
                  <c:v>0.0275862068965517</c:v>
                </c:pt>
                <c:pt idx="2">
                  <c:v>0.01171875</c:v>
                </c:pt>
                <c:pt idx="3">
                  <c:v>0.0272727272727273</c:v>
                </c:pt>
                <c:pt idx="4">
                  <c:v>0.0608695652173913</c:v>
                </c:pt>
                <c:pt idx="5">
                  <c:v>0.01</c:v>
                </c:pt>
                <c:pt idx="6">
                  <c:v>0.025</c:v>
                </c:pt>
                <c:pt idx="7">
                  <c:v>0.0441176470588235</c:v>
                </c:pt>
                <c:pt idx="8">
                  <c:v>0.0153846153846154</c:v>
                </c:pt>
                <c:pt idx="9">
                  <c:v>0.0188679245283019</c:v>
                </c:pt>
                <c:pt idx="10">
                  <c:v>0.04</c:v>
                </c:pt>
                <c:pt idx="11">
                  <c:v>0.136363636363636</c:v>
                </c:pt>
                <c:pt idx="12">
                  <c:v>0.111111111111111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232564"/>
        <c:axId val="36470307"/>
      </c:lineChart>
      <c:catAx>
        <c:axId val="892325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70307"/>
        <c:crosses val="autoZero"/>
        <c:auto val="1"/>
        <c:lblAlgn val="ctr"/>
        <c:lblOffset val="100"/>
        <c:noMultiLvlLbl val="0"/>
      </c:catAx>
      <c:valAx>
        <c:axId val="36470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2325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255960</xdr:colOff>
      <xdr:row>16</xdr:row>
      <xdr:rowOff>15840</xdr:rowOff>
    </xdr:to>
    <xdr:graphicFrame>
      <xdr:nvGraphicFramePr>
        <xdr:cNvPr id="1" name="Chart 1"/>
        <xdr:cNvGraphicFramePr/>
      </xdr:nvGraphicFramePr>
      <xdr:xfrm>
        <a:off x="9210600" y="616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364680</xdr:colOff>
      <xdr:row>17</xdr:row>
      <xdr:rowOff>185400</xdr:rowOff>
    </xdr:to>
    <xdr:graphicFrame>
      <xdr:nvGraphicFramePr>
        <xdr:cNvPr id="2" name="Chart 1"/>
        <xdr:cNvGraphicFramePr/>
      </xdr:nvGraphicFramePr>
      <xdr:xfrm>
        <a:off x="9281160" y="6742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20</xdr:col>
      <xdr:colOff>364680</xdr:colOff>
      <xdr:row>36</xdr:row>
      <xdr:rowOff>21960</xdr:rowOff>
    </xdr:to>
    <xdr:graphicFrame>
      <xdr:nvGraphicFramePr>
        <xdr:cNvPr id="3" name="Chart 2"/>
        <xdr:cNvGraphicFramePr/>
      </xdr:nvGraphicFramePr>
      <xdr:xfrm>
        <a:off x="9281160" y="4130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255960</xdr:colOff>
      <xdr:row>18</xdr:row>
      <xdr:rowOff>21960</xdr:rowOff>
    </xdr:to>
    <xdr:graphicFrame>
      <xdr:nvGraphicFramePr>
        <xdr:cNvPr id="4" name="Chart 1"/>
        <xdr:cNvGraphicFramePr/>
      </xdr:nvGraphicFramePr>
      <xdr:xfrm>
        <a:off x="5734080" y="674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5" customFormat="false" ht="17.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4399</v>
      </c>
      <c r="C6" s="7" t="s">
        <v>8</v>
      </c>
      <c r="D6" s="7" t="s">
        <v>9</v>
      </c>
    </row>
    <row r="7" customFormat="false" ht="15" hidden="false" customHeight="false" outlineLevel="0" collapsed="false">
      <c r="A7" s="8" t="s">
        <v>10</v>
      </c>
      <c r="B7" s="9" t="n">
        <v>325</v>
      </c>
      <c r="C7" s="10" t="s">
        <v>8</v>
      </c>
      <c r="D7" s="10" t="s">
        <v>9</v>
      </c>
    </row>
    <row r="8" customFormat="false" ht="15" hidden="false" customHeight="false" outlineLevel="0" collapsed="false">
      <c r="A8" s="11" t="s">
        <v>11</v>
      </c>
      <c r="B8" s="12" t="n">
        <f aca="false">B7/B6</f>
        <v>0.0738804273698568</v>
      </c>
      <c r="C8" s="13" t="s">
        <v>12</v>
      </c>
      <c r="D8" s="14" t="s">
        <v>13</v>
      </c>
    </row>
    <row r="9" customFormat="false" ht="15" hidden="false" customHeight="false" outlineLevel="0" collapsed="false">
      <c r="A9" s="8" t="s">
        <v>14</v>
      </c>
      <c r="B9" s="15" t="n">
        <v>51994</v>
      </c>
      <c r="C9" s="10" t="s">
        <v>15</v>
      </c>
      <c r="D9" s="10" t="s">
        <v>9</v>
      </c>
    </row>
    <row r="10" customFormat="false" ht="15" hidden="false" customHeight="false" outlineLevel="0" collapsed="false">
      <c r="A10" s="11" t="s">
        <v>16</v>
      </c>
      <c r="B10" s="16" t="n">
        <f aca="false">B9/B7</f>
        <v>159.981538461538</v>
      </c>
      <c r="C10" s="13" t="s">
        <v>17</v>
      </c>
      <c r="D10" s="17" t="s">
        <v>17</v>
      </c>
    </row>
    <row r="11" customFormat="false" ht="15" hidden="false" customHeight="false" outlineLevel="0" collapsed="false">
      <c r="A11" s="18" t="s">
        <v>18</v>
      </c>
      <c r="B11" s="15" t="n">
        <f aca="false">B9/B6*1000</f>
        <v>11819.5044328256</v>
      </c>
      <c r="C11" s="19" t="s">
        <v>19</v>
      </c>
      <c r="D11" s="14" t="s">
        <v>20</v>
      </c>
    </row>
    <row r="12" customFormat="false" ht="15" hidden="false" customHeight="false" outlineLevel="0" collapsed="false">
      <c r="A12" s="5" t="s">
        <v>21</v>
      </c>
      <c r="B12" s="6" t="n">
        <v>380</v>
      </c>
      <c r="C12" s="13" t="s">
        <v>22</v>
      </c>
      <c r="D12" s="20" t="s">
        <v>23</v>
      </c>
    </row>
    <row r="13" customFormat="false" ht="15" hidden="false" customHeight="false" outlineLevel="0" collapsed="false">
      <c r="A13" s="18" t="s">
        <v>24</v>
      </c>
      <c r="B13" s="9" t="n">
        <v>239</v>
      </c>
      <c r="C13" s="19" t="s">
        <v>25</v>
      </c>
      <c r="D13" s="14" t="s">
        <v>26</v>
      </c>
    </row>
    <row r="14" customFormat="false" ht="15" hidden="false" customHeight="false" outlineLevel="0" collapsed="false">
      <c r="A14" s="11" t="s">
        <v>27</v>
      </c>
      <c r="B14" s="6" t="n">
        <v>262</v>
      </c>
      <c r="C14" s="7" t="s">
        <v>28</v>
      </c>
      <c r="D14" s="14" t="s">
        <v>29</v>
      </c>
    </row>
    <row r="15" customFormat="false" ht="15" hidden="false" customHeight="false" outlineLevel="0" collapsed="false">
      <c r="A15" s="18" t="s">
        <v>30</v>
      </c>
      <c r="B15" s="9" t="n">
        <v>27</v>
      </c>
      <c r="C15" s="19" t="s">
        <v>31</v>
      </c>
      <c r="D15" s="20" t="s">
        <v>23</v>
      </c>
    </row>
    <row r="16" customFormat="false" ht="15" hidden="false" customHeight="false" outlineLevel="0" collapsed="false">
      <c r="A16" s="5" t="s">
        <v>32</v>
      </c>
      <c r="B16" s="21" t="n">
        <v>6.5</v>
      </c>
      <c r="C16" s="13" t="s">
        <v>33</v>
      </c>
      <c r="D16" s="20" t="s">
        <v>23</v>
      </c>
    </row>
    <row r="17" customFormat="false" ht="15" hidden="false" customHeight="false" outlineLevel="0" collapsed="false">
      <c r="A17" s="18" t="s">
        <v>34</v>
      </c>
      <c r="B17" s="22" t="n">
        <f aca="false">0.0276</f>
        <v>0.0276</v>
      </c>
      <c r="C17" s="19" t="s">
        <v>35</v>
      </c>
      <c r="D17" s="20" t="s">
        <v>23</v>
      </c>
    </row>
    <row r="20" customFormat="false" ht="15" hidden="false" customHeight="false" outlineLevel="0" collapsed="false">
      <c r="A20" s="23" t="s">
        <v>36</v>
      </c>
    </row>
    <row r="21" customFormat="false" ht="15" hidden="false" customHeight="false" outlineLevel="0" collapsed="false">
      <c r="A21" s="4" t="s">
        <v>37</v>
      </c>
      <c r="B21" s="4" t="s">
        <v>38</v>
      </c>
      <c r="C21" s="4" t="s">
        <v>39</v>
      </c>
    </row>
    <row r="22" customFormat="false" ht="15" hidden="false" customHeight="false" outlineLevel="0" collapsed="false">
      <c r="A22" s="5" t="s">
        <v>40</v>
      </c>
      <c r="B22" s="16" t="n">
        <f aca="false">B9/B13</f>
        <v>217.548117154812</v>
      </c>
      <c r="C22" s="13" t="s">
        <v>41</v>
      </c>
    </row>
    <row r="23" customFormat="false" ht="15" hidden="false" customHeight="false" outlineLevel="0" collapsed="false">
      <c r="A23" s="8" t="s">
        <v>42</v>
      </c>
      <c r="B23" s="15" t="n">
        <f aca="false">B9/(B13*0.33)</f>
        <v>659.236718650945</v>
      </c>
      <c r="C23" s="19" t="s">
        <v>43</v>
      </c>
    </row>
    <row r="24" customFormat="false" ht="15" hidden="false" customHeight="false" outlineLevel="0" collapsed="false">
      <c r="A24" s="11" t="s">
        <v>44</v>
      </c>
      <c r="B24" s="16" t="n">
        <f aca="false">B9/B15</f>
        <v>1925.7037037037</v>
      </c>
      <c r="C24" s="13" t="s">
        <v>45</v>
      </c>
    </row>
    <row r="26" customFormat="false" ht="15" hidden="false" customHeight="false" outlineLevel="0" collapsed="false">
      <c r="A26" s="2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18.5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4" t="s">
        <v>48</v>
      </c>
    </row>
    <row r="4" customFormat="false" ht="15" hidden="false" customHeight="false" outlineLevel="0" collapsed="false">
      <c r="A4" s="4" t="s">
        <v>3</v>
      </c>
      <c r="B4" s="4" t="s">
        <v>4</v>
      </c>
    </row>
    <row r="5" customFormat="false" ht="15" hidden="false" customHeight="false" outlineLevel="0" collapsed="false">
      <c r="A5" s="5" t="s">
        <v>7</v>
      </c>
      <c r="B5" s="6" t="n">
        <v>4399</v>
      </c>
    </row>
    <row r="6" customFormat="false" ht="15" hidden="false" customHeight="false" outlineLevel="0" collapsed="false">
      <c r="A6" s="8" t="s">
        <v>10</v>
      </c>
      <c r="B6" s="9" t="n">
        <v>325</v>
      </c>
    </row>
    <row r="7" customFormat="false" ht="15" hidden="false" customHeight="false" outlineLevel="0" collapsed="false">
      <c r="A7" s="11" t="s">
        <v>11</v>
      </c>
      <c r="B7" s="12" t="n">
        <f aca="false">B6/B5</f>
        <v>0.0738804273698568</v>
      </c>
    </row>
    <row r="8" customFormat="false" ht="15" hidden="false" customHeight="false" outlineLevel="0" collapsed="false">
      <c r="A8" s="8" t="s">
        <v>49</v>
      </c>
      <c r="B8" s="15" t="n">
        <v>51994</v>
      </c>
    </row>
    <row r="9" customFormat="false" ht="15" hidden="false" customHeight="false" outlineLevel="0" collapsed="false">
      <c r="A9" s="11" t="s">
        <v>16</v>
      </c>
      <c r="B9" s="16" t="n">
        <f aca="false">B8/B6</f>
        <v>159.981538461538</v>
      </c>
    </row>
    <row r="10" customFormat="false" ht="15" hidden="false" customHeight="false" outlineLevel="0" collapsed="false">
      <c r="A10" s="18" t="s">
        <v>18</v>
      </c>
      <c r="B10" s="15" t="n">
        <f aca="false">B8/B5*1000</f>
        <v>11819.5044328256</v>
      </c>
    </row>
    <row r="11" customFormat="false" ht="15" hidden="false" customHeight="false" outlineLevel="0" collapsed="false">
      <c r="A11" s="5" t="s">
        <v>50</v>
      </c>
      <c r="B11" s="6" t="n">
        <v>380</v>
      </c>
    </row>
    <row r="12" customFormat="false" ht="15" hidden="false" customHeight="false" outlineLevel="0" collapsed="false">
      <c r="A12" s="8" t="s">
        <v>51</v>
      </c>
      <c r="B12" s="25" t="n">
        <f aca="false">B11/B6</f>
        <v>1.16923076923077</v>
      </c>
    </row>
    <row r="13" customFormat="false" ht="15" hidden="false" customHeight="false" outlineLevel="0" collapsed="false">
      <c r="A13" s="5" t="s">
        <v>52</v>
      </c>
      <c r="B13" s="13" t="n">
        <v>5</v>
      </c>
    </row>
    <row r="14" customFormat="false" ht="15" hidden="false" customHeight="false" outlineLevel="0" collapsed="false">
      <c r="A14" s="8" t="s">
        <v>53</v>
      </c>
      <c r="B14" s="15" t="n">
        <f aca="false">B8/B13</f>
        <v>10398.8</v>
      </c>
    </row>
    <row r="17" customFormat="false" ht="15" hidden="false" customHeight="false" outlineLevel="0" collapsed="false">
      <c r="A17" s="26" t="s">
        <v>54</v>
      </c>
    </row>
    <row r="18" customFormat="false" ht="15" hidden="false" customHeight="false" outlineLevel="0" collapsed="false">
      <c r="A18" s="2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52"/>
  </cols>
  <sheetData>
    <row r="1" customFormat="false" ht="18.5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7.15" hidden="false" customHeight="false" outlineLevel="0" collapsed="false">
      <c r="A4" s="4" t="s">
        <v>58</v>
      </c>
      <c r="B4" s="4" t="s">
        <v>4</v>
      </c>
      <c r="C4" s="4" t="s">
        <v>59</v>
      </c>
      <c r="D4" s="4" t="s">
        <v>60</v>
      </c>
      <c r="E4" s="4" t="s">
        <v>61</v>
      </c>
    </row>
    <row r="5" customFormat="false" ht="15" hidden="false" customHeight="false" outlineLevel="0" collapsed="false">
      <c r="A5" s="5" t="s">
        <v>62</v>
      </c>
      <c r="B5" s="6" t="n">
        <v>4399</v>
      </c>
      <c r="C5" s="28" t="s">
        <v>8</v>
      </c>
      <c r="D5" s="28" t="n">
        <f aca="false">B5/$B$5</f>
        <v>1</v>
      </c>
      <c r="E5" s="7" t="s">
        <v>63</v>
      </c>
    </row>
    <row r="6" customFormat="false" ht="15" hidden="false" customHeight="false" outlineLevel="0" collapsed="false">
      <c r="A6" s="8" t="s">
        <v>64</v>
      </c>
      <c r="B6" s="9" t="n">
        <v>325</v>
      </c>
      <c r="C6" s="25" t="n">
        <f aca="false">B6/B5</f>
        <v>0.0738804273698568</v>
      </c>
      <c r="D6" s="25" t="n">
        <f aca="false">B6/$B$5</f>
        <v>0.0738804273698568</v>
      </c>
      <c r="E6" s="10" t="s">
        <v>65</v>
      </c>
    </row>
    <row r="7" customFormat="false" ht="15" hidden="false" customHeight="false" outlineLevel="0" collapsed="false">
      <c r="A7" s="11" t="s">
        <v>66</v>
      </c>
      <c r="B7" s="6" t="n">
        <v>239</v>
      </c>
      <c r="C7" s="28" t="n">
        <f aca="false">B7/B6</f>
        <v>0.735384615384615</v>
      </c>
      <c r="D7" s="28" t="n">
        <f aca="false">B7/$B$5</f>
        <v>0.0543305296658331</v>
      </c>
      <c r="E7" s="13" t="s">
        <v>67</v>
      </c>
    </row>
    <row r="8" customFormat="false" ht="15" hidden="false" customHeight="false" outlineLevel="0" collapsed="false">
      <c r="A8" s="18" t="s">
        <v>27</v>
      </c>
      <c r="B8" s="9" t="n">
        <v>262</v>
      </c>
      <c r="C8" s="25" t="s">
        <v>8</v>
      </c>
      <c r="D8" s="25" t="s">
        <v>8</v>
      </c>
      <c r="E8" s="19" t="s">
        <v>68</v>
      </c>
    </row>
    <row r="9" customFormat="false" ht="15" hidden="false" customHeight="false" outlineLevel="0" collapsed="false">
      <c r="A9" s="5" t="s">
        <v>69</v>
      </c>
      <c r="B9" s="6" t="n">
        <v>79</v>
      </c>
      <c r="C9" s="28" t="n">
        <f aca="false">B9/B7</f>
        <v>0.330543933054393</v>
      </c>
      <c r="D9" s="28" t="n">
        <f aca="false">B9/$B$5</f>
        <v>0.0179586269606729</v>
      </c>
      <c r="E9" s="13" t="s">
        <v>70</v>
      </c>
    </row>
    <row r="10" customFormat="false" ht="15" hidden="false" customHeight="false" outlineLevel="0" collapsed="false">
      <c r="A10" s="18" t="s">
        <v>30</v>
      </c>
      <c r="B10" s="9" t="n">
        <v>27</v>
      </c>
      <c r="C10" s="25" t="n">
        <f aca="false">B10/B7</f>
        <v>0.112970711297071</v>
      </c>
      <c r="D10" s="25" t="n">
        <f aca="false">B10/$B$5</f>
        <v>0.00613775858149579</v>
      </c>
      <c r="E10" s="19" t="s">
        <v>71</v>
      </c>
    </row>
    <row r="12" customFormat="false" ht="15" hidden="false" customHeight="false" outlineLevel="0" collapsed="false">
      <c r="A12" s="27" t="s">
        <v>72</v>
      </c>
    </row>
    <row r="13" customFormat="false" ht="15" hidden="false" customHeight="false" outlineLevel="0" collapsed="false">
      <c r="A13" s="27" t="s">
        <v>73</v>
      </c>
    </row>
    <row r="14" customFormat="false" ht="15" hidden="false" customHeight="false" outlineLevel="0" collapsed="false">
      <c r="A14" s="2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5" min="3" style="0" width="11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10"/>
  </cols>
  <sheetData>
    <row r="1" customFormat="false" ht="23.1" hidden="false" customHeight="false" outlineLevel="0" collapsed="false">
      <c r="A1" s="30" t="s">
        <v>75</v>
      </c>
    </row>
    <row r="2" customFormat="false" ht="15" hidden="false" customHeight="false" outlineLevel="0" collapsed="false">
      <c r="A2" s="24" t="s">
        <v>76</v>
      </c>
    </row>
    <row r="4" customFormat="false" ht="17.15" hidden="false" customHeight="false" outlineLevel="0" collapsed="false">
      <c r="A4" s="4" t="s">
        <v>77</v>
      </c>
      <c r="B4" s="31" t="s">
        <v>78</v>
      </c>
      <c r="C4" s="31" t="s">
        <v>79</v>
      </c>
      <c r="D4" s="31" t="s">
        <v>80</v>
      </c>
      <c r="E4" s="31" t="s">
        <v>81</v>
      </c>
      <c r="F4" s="4" t="s">
        <v>82</v>
      </c>
      <c r="G4" s="4" t="s">
        <v>83</v>
      </c>
      <c r="H4" s="4" t="s">
        <v>84</v>
      </c>
      <c r="I4" s="4" t="s">
        <v>85</v>
      </c>
    </row>
    <row r="5" customFormat="false" ht="15" hidden="false" customHeight="false" outlineLevel="0" collapsed="false">
      <c r="A5" s="11" t="s">
        <v>86</v>
      </c>
      <c r="B5" s="7" t="s">
        <v>87</v>
      </c>
      <c r="C5" s="6" t="n">
        <v>11</v>
      </c>
      <c r="D5" s="6" t="n">
        <v>11</v>
      </c>
      <c r="E5" s="6" t="n">
        <v>11</v>
      </c>
      <c r="F5" s="32" t="n">
        <v>545.818181818182</v>
      </c>
      <c r="G5" s="33" t="n">
        <v>0.818181818181818</v>
      </c>
      <c r="H5" s="32" t="n">
        <v>500.333333333333</v>
      </c>
      <c r="I5" s="13" t="s">
        <v>88</v>
      </c>
    </row>
    <row r="6" customFormat="false" ht="15" hidden="false" customHeight="false" outlineLevel="0" collapsed="false">
      <c r="A6" s="18" t="s">
        <v>89</v>
      </c>
      <c r="B6" s="10" t="s">
        <v>90</v>
      </c>
      <c r="C6" s="9" t="n">
        <v>16</v>
      </c>
      <c r="D6" s="9" t="n">
        <v>25</v>
      </c>
      <c r="E6" s="9" t="n">
        <v>25</v>
      </c>
      <c r="F6" s="34" t="n">
        <v>428.125</v>
      </c>
      <c r="G6" s="35" t="n">
        <v>1</v>
      </c>
      <c r="H6" s="34" t="n">
        <v>342.5</v>
      </c>
      <c r="I6" s="19" t="s">
        <v>88</v>
      </c>
    </row>
    <row r="7" customFormat="false" ht="15" hidden="false" customHeight="false" outlineLevel="0" collapsed="false">
      <c r="A7" s="11" t="s">
        <v>91</v>
      </c>
      <c r="B7" s="7" t="s">
        <v>92</v>
      </c>
      <c r="C7" s="6" t="n">
        <v>6</v>
      </c>
      <c r="D7" s="6" t="n">
        <v>29</v>
      </c>
      <c r="E7" s="6" t="n">
        <v>29</v>
      </c>
      <c r="F7" s="32" t="n">
        <v>259.333333333333</v>
      </c>
      <c r="G7" s="33" t="n">
        <v>0.666666666666667</v>
      </c>
      <c r="H7" s="32" t="n">
        <v>222.285714285714</v>
      </c>
      <c r="I7" s="13" t="s">
        <v>88</v>
      </c>
    </row>
    <row r="8" customFormat="false" ht="15" hidden="false" customHeight="false" outlineLevel="0" collapsed="false">
      <c r="A8" s="18" t="s">
        <v>93</v>
      </c>
      <c r="B8" s="10" t="s">
        <v>94</v>
      </c>
      <c r="C8" s="9" t="n">
        <v>33</v>
      </c>
      <c r="D8" s="9" t="n">
        <v>58</v>
      </c>
      <c r="E8" s="9" t="n">
        <v>58</v>
      </c>
      <c r="F8" s="34" t="n">
        <v>418</v>
      </c>
      <c r="G8" s="35" t="n">
        <v>0.878787878787879</v>
      </c>
      <c r="H8" s="34" t="n">
        <v>344.85</v>
      </c>
      <c r="I8" s="19" t="s">
        <v>88</v>
      </c>
    </row>
    <row r="9" customFormat="false" ht="15" hidden="false" customHeight="false" outlineLevel="0" collapsed="false">
      <c r="A9" s="11" t="s">
        <v>95</v>
      </c>
      <c r="B9" s="7" t="s">
        <v>96</v>
      </c>
      <c r="C9" s="6" t="n">
        <v>22</v>
      </c>
      <c r="D9" s="6" t="n">
        <v>73</v>
      </c>
      <c r="E9" s="6" t="n">
        <v>73</v>
      </c>
      <c r="F9" s="32" t="n">
        <v>211.772727272727</v>
      </c>
      <c r="G9" s="33" t="n">
        <v>0.909090909090909</v>
      </c>
      <c r="H9" s="32" t="n">
        <v>160.655172413793</v>
      </c>
      <c r="I9" s="13" t="s">
        <v>88</v>
      </c>
    </row>
    <row r="10" customFormat="false" ht="15" hidden="false" customHeight="false" outlineLevel="0" collapsed="false">
      <c r="A10" s="18" t="s">
        <v>97</v>
      </c>
      <c r="B10" s="10" t="s">
        <v>98</v>
      </c>
      <c r="C10" s="9" t="n">
        <v>5</v>
      </c>
      <c r="D10" s="9" t="n">
        <v>76</v>
      </c>
      <c r="E10" s="9" t="n">
        <v>76</v>
      </c>
      <c r="F10" s="34" t="n">
        <v>369.6</v>
      </c>
      <c r="G10" s="35" t="n">
        <v>1</v>
      </c>
      <c r="H10" s="34" t="n">
        <v>231</v>
      </c>
      <c r="I10" s="19" t="s">
        <v>88</v>
      </c>
    </row>
    <row r="11" customFormat="false" ht="15" hidden="false" customHeight="false" outlineLevel="0" collapsed="false">
      <c r="A11" s="11" t="s">
        <v>99</v>
      </c>
      <c r="B11" s="7" t="s">
        <v>100</v>
      </c>
      <c r="C11" s="6" t="n">
        <v>19</v>
      </c>
      <c r="D11" s="6" t="n">
        <v>88</v>
      </c>
      <c r="E11" s="6" t="n">
        <v>88</v>
      </c>
      <c r="F11" s="32" t="n">
        <v>238.947368421053</v>
      </c>
      <c r="G11" s="33" t="n">
        <v>1</v>
      </c>
      <c r="H11" s="32" t="n">
        <v>181.6</v>
      </c>
      <c r="I11" s="13" t="s">
        <v>88</v>
      </c>
    </row>
    <row r="12" customFormat="false" ht="15" hidden="false" customHeight="false" outlineLevel="0" collapsed="false">
      <c r="A12" s="18" t="s">
        <v>101</v>
      </c>
      <c r="B12" s="10" t="s">
        <v>102</v>
      </c>
      <c r="C12" s="9" t="n">
        <v>30</v>
      </c>
      <c r="D12" s="9" t="n">
        <v>109</v>
      </c>
      <c r="E12" s="9" t="n">
        <v>113</v>
      </c>
      <c r="F12" s="34" t="n">
        <v>197.866666666667</v>
      </c>
      <c r="G12" s="35" t="n">
        <v>0.5</v>
      </c>
      <c r="H12" s="34" t="n">
        <v>174.588235294118</v>
      </c>
      <c r="I12" s="36" t="s">
        <v>103</v>
      </c>
    </row>
    <row r="13" customFormat="false" ht="15" hidden="false" customHeight="false" outlineLevel="0" collapsed="false">
      <c r="A13" s="11" t="s">
        <v>104</v>
      </c>
      <c r="B13" s="7" t="s">
        <v>105</v>
      </c>
      <c r="C13" s="6" t="n">
        <v>27</v>
      </c>
      <c r="D13" s="6" t="n">
        <v>120</v>
      </c>
      <c r="E13" s="6" t="n">
        <v>137</v>
      </c>
      <c r="F13" s="37" t="n">
        <v>69.037037037037</v>
      </c>
      <c r="G13" s="33" t="n">
        <v>0.592592592592593</v>
      </c>
      <c r="H13" s="32" t="n">
        <v>54.8235294117647</v>
      </c>
      <c r="I13" s="36" t="s">
        <v>103</v>
      </c>
    </row>
    <row r="14" customFormat="false" ht="15" hidden="false" customHeight="false" outlineLevel="0" collapsed="false">
      <c r="A14" s="18" t="s">
        <v>106</v>
      </c>
      <c r="B14" s="10" t="s">
        <v>107</v>
      </c>
      <c r="C14" s="9" t="n">
        <v>135</v>
      </c>
      <c r="D14" s="9" t="n">
        <v>251</v>
      </c>
      <c r="E14" s="9" t="n">
        <v>272</v>
      </c>
      <c r="F14" s="37" t="n">
        <v>16.9407407407407</v>
      </c>
      <c r="G14" s="35" t="n">
        <v>0.274074074074074</v>
      </c>
      <c r="H14" s="34" t="n">
        <v>16.5724637681159</v>
      </c>
      <c r="I14" s="36" t="s">
        <v>103</v>
      </c>
    </row>
    <row r="15" customFormat="false" ht="15" hidden="false" customHeight="false" outlineLevel="0" collapsed="false">
      <c r="A15" s="11" t="s">
        <v>108</v>
      </c>
      <c r="B15" s="7" t="s">
        <v>109</v>
      </c>
      <c r="C15" s="6" t="n">
        <v>48</v>
      </c>
      <c r="D15" s="6" t="n">
        <v>269</v>
      </c>
      <c r="E15" s="6" t="n">
        <v>316</v>
      </c>
      <c r="F15" s="37" t="n">
        <v>13.8541666666667</v>
      </c>
      <c r="G15" s="33" t="n">
        <v>0.333333333333333</v>
      </c>
      <c r="H15" s="32" t="n">
        <v>11.875</v>
      </c>
      <c r="I15" s="36" t="s">
        <v>103</v>
      </c>
    </row>
    <row r="16" customFormat="false" ht="15" hidden="false" customHeight="false" outlineLevel="0" collapsed="false">
      <c r="A16" s="18" t="s">
        <v>110</v>
      </c>
      <c r="B16" s="10" t="s">
        <v>111</v>
      </c>
      <c r="C16" s="9" t="n">
        <v>57</v>
      </c>
      <c r="D16" s="9" t="n">
        <v>304</v>
      </c>
      <c r="E16" s="9" t="n">
        <v>367</v>
      </c>
      <c r="F16" s="37" t="n">
        <v>6.52631578947368</v>
      </c>
      <c r="G16" s="35" t="n">
        <v>0.473684210526316</v>
      </c>
      <c r="H16" s="34" t="n">
        <v>5.8125</v>
      </c>
      <c r="I16" s="36" t="s">
        <v>103</v>
      </c>
    </row>
    <row r="18" customFormat="false" ht="15" hidden="false" customHeight="false" outlineLevel="0" collapsed="false">
      <c r="A18" s="26" t="s">
        <v>112</v>
      </c>
    </row>
    <row r="19" customFormat="false" ht="15" hidden="false" customHeight="false" outlineLevel="0" collapsed="false">
      <c r="A19" s="27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23.1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4" t="s">
        <v>115</v>
      </c>
    </row>
    <row r="4" customFormat="false" ht="15" hidden="false" customHeight="false" outlineLevel="0" collapsed="false">
      <c r="A4" s="4" t="s">
        <v>116</v>
      </c>
      <c r="B4" s="4" t="s">
        <v>117</v>
      </c>
      <c r="C4" s="4" t="s">
        <v>118</v>
      </c>
      <c r="D4" s="4" t="s">
        <v>119</v>
      </c>
    </row>
    <row r="5" customFormat="false" ht="15" hidden="false" customHeight="false" outlineLevel="0" collapsed="false">
      <c r="A5" s="11" t="s">
        <v>120</v>
      </c>
      <c r="B5" s="12" t="n">
        <v>1</v>
      </c>
      <c r="C5" s="28" t="n">
        <v>1</v>
      </c>
      <c r="D5" s="28" t="n">
        <f aca="false">IFERROR(B5/C5,"")</f>
        <v>1</v>
      </c>
    </row>
    <row r="6" customFormat="false" ht="15" hidden="false" customHeight="false" outlineLevel="0" collapsed="false">
      <c r="A6" s="18" t="s">
        <v>121</v>
      </c>
      <c r="B6" s="38" t="n">
        <v>0.0275862068965517</v>
      </c>
      <c r="C6" s="25" t="n">
        <v>0.28</v>
      </c>
      <c r="D6" s="25" t="n">
        <f aca="false">IFERROR(B6/C6,"")</f>
        <v>0.0985221674876847</v>
      </c>
    </row>
    <row r="7" customFormat="false" ht="15" hidden="false" customHeight="false" outlineLevel="0" collapsed="false">
      <c r="A7" s="11" t="s">
        <v>122</v>
      </c>
      <c r="B7" s="38" t="n">
        <v>0.01171875</v>
      </c>
      <c r="C7" s="28" t="n">
        <v>0.2</v>
      </c>
      <c r="D7" s="28" t="n">
        <f aca="false">IFERROR(B7/C7,"")</f>
        <v>0.05859375</v>
      </c>
    </row>
    <row r="8" customFormat="false" ht="15" hidden="false" customHeight="false" outlineLevel="0" collapsed="false">
      <c r="A8" s="18" t="s">
        <v>123</v>
      </c>
      <c r="B8" s="38" t="n">
        <v>0.0272727272727273</v>
      </c>
      <c r="C8" s="25" t="n">
        <v>0.16</v>
      </c>
      <c r="D8" s="25" t="n">
        <f aca="false">IFERROR(B8/C8,"")</f>
        <v>0.170454545454545</v>
      </c>
    </row>
    <row r="9" customFormat="false" ht="15" hidden="false" customHeight="false" outlineLevel="0" collapsed="false">
      <c r="A9" s="11" t="s">
        <v>124</v>
      </c>
      <c r="B9" s="12" t="n">
        <v>0.0608695652173913</v>
      </c>
      <c r="C9" s="7" t="s">
        <v>8</v>
      </c>
      <c r="D9" s="28" t="s">
        <v>8</v>
      </c>
    </row>
    <row r="10" customFormat="false" ht="15" hidden="false" customHeight="false" outlineLevel="0" collapsed="false">
      <c r="A10" s="18" t="s">
        <v>125</v>
      </c>
      <c r="B10" s="38" t="n">
        <v>0.01</v>
      </c>
      <c r="C10" s="10" t="s">
        <v>8</v>
      </c>
      <c r="D10" s="25" t="s">
        <v>8</v>
      </c>
    </row>
    <row r="11" customFormat="false" ht="15" hidden="false" customHeight="false" outlineLevel="0" collapsed="false">
      <c r="A11" s="11" t="s">
        <v>126</v>
      </c>
      <c r="B11" s="38" t="n">
        <v>0.025</v>
      </c>
      <c r="C11" s="7" t="s">
        <v>8</v>
      </c>
      <c r="D11" s="28" t="s">
        <v>8</v>
      </c>
    </row>
    <row r="12" customFormat="false" ht="15" hidden="false" customHeight="false" outlineLevel="0" collapsed="false">
      <c r="A12" s="18" t="s">
        <v>127</v>
      </c>
      <c r="B12" s="38" t="n">
        <v>0.0441176470588235</v>
      </c>
      <c r="C12" s="25" t="n">
        <v>0.1</v>
      </c>
      <c r="D12" s="25" t="n">
        <f aca="false">IFERROR(B12/C12,"")</f>
        <v>0.441176470588235</v>
      </c>
    </row>
    <row r="13" customFormat="false" ht="15" hidden="false" customHeight="false" outlineLevel="0" collapsed="false">
      <c r="A13" s="11" t="s">
        <v>128</v>
      </c>
      <c r="B13" s="38" t="n">
        <v>0.0153846153846154</v>
      </c>
      <c r="C13" s="7" t="s">
        <v>8</v>
      </c>
      <c r="D13" s="28" t="s">
        <v>8</v>
      </c>
    </row>
    <row r="14" customFormat="false" ht="15" hidden="false" customHeight="false" outlineLevel="0" collapsed="false">
      <c r="A14" s="18" t="s">
        <v>129</v>
      </c>
      <c r="B14" s="38" t="n">
        <v>0.0188679245283019</v>
      </c>
      <c r="C14" s="10" t="s">
        <v>8</v>
      </c>
      <c r="D14" s="25" t="s">
        <v>8</v>
      </c>
    </row>
    <row r="15" customFormat="false" ht="15" hidden="false" customHeight="false" outlineLevel="0" collapsed="false">
      <c r="A15" s="11" t="s">
        <v>130</v>
      </c>
      <c r="B15" s="38" t="n">
        <v>0.04</v>
      </c>
      <c r="C15" s="7" t="s">
        <v>8</v>
      </c>
      <c r="D15" s="28" t="s">
        <v>8</v>
      </c>
    </row>
    <row r="16" customFormat="false" ht="15" hidden="false" customHeight="false" outlineLevel="0" collapsed="false">
      <c r="A16" s="18" t="s">
        <v>131</v>
      </c>
      <c r="B16" s="22" t="n">
        <v>0.136363636363636</v>
      </c>
      <c r="C16" s="10" t="s">
        <v>8</v>
      </c>
      <c r="D16" s="25" t="s">
        <v>8</v>
      </c>
    </row>
    <row r="17" customFormat="false" ht="15" hidden="false" customHeight="false" outlineLevel="0" collapsed="false">
      <c r="A17" s="11" t="s">
        <v>132</v>
      </c>
      <c r="B17" s="12" t="n">
        <v>0.111111111111111</v>
      </c>
      <c r="C17" s="7" t="s">
        <v>8</v>
      </c>
      <c r="D17" s="28" t="s">
        <v>8</v>
      </c>
    </row>
    <row r="19" customFormat="false" ht="15" hidden="false" customHeight="false" outlineLevel="0" collapsed="false">
      <c r="A19" s="3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</cols>
  <sheetData>
    <row r="1" customFormat="false" ht="23.1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4" t="s">
        <v>136</v>
      </c>
      <c r="B4" s="4" t="s">
        <v>137</v>
      </c>
      <c r="C4" s="4" t="s">
        <v>138</v>
      </c>
      <c r="D4" s="4" t="s">
        <v>139</v>
      </c>
      <c r="E4" s="4" t="s">
        <v>62</v>
      </c>
      <c r="F4" s="4" t="s">
        <v>64</v>
      </c>
      <c r="G4" s="31" t="s">
        <v>11</v>
      </c>
      <c r="H4" s="4" t="s">
        <v>38</v>
      </c>
      <c r="I4" s="31" t="s">
        <v>16</v>
      </c>
      <c r="J4" s="4" t="s">
        <v>140</v>
      </c>
    </row>
    <row r="5" customFormat="false" ht="15" hidden="false" customHeight="false" outlineLevel="0" collapsed="false">
      <c r="A5" s="11" t="s">
        <v>141</v>
      </c>
      <c r="B5" s="13" t="s">
        <v>142</v>
      </c>
      <c r="C5" s="13" t="s">
        <v>143</v>
      </c>
      <c r="D5" s="13" t="s">
        <v>144</v>
      </c>
      <c r="E5" s="6" t="n">
        <v>4399</v>
      </c>
      <c r="F5" s="6" t="n">
        <v>325</v>
      </c>
      <c r="G5" s="12" t="n">
        <f aca="false">IFERROR(E5/F5*0+F5/E5,"")</f>
        <v>0.0738804273698568</v>
      </c>
      <c r="H5" s="6" t="n">
        <v>51994</v>
      </c>
      <c r="I5" s="6" t="n">
        <f aca="false">IFERROR(H5/F5,"")</f>
        <v>159.981538461538</v>
      </c>
      <c r="J5" s="13" t="n">
        <v>380</v>
      </c>
    </row>
    <row r="6" customFormat="false" ht="15" hidden="false" customHeight="false" outlineLevel="0" collapsed="false">
      <c r="A6" s="8" t="s">
        <v>145</v>
      </c>
      <c r="B6" s="19" t="s">
        <v>146</v>
      </c>
      <c r="C6" s="19" t="s">
        <v>147</v>
      </c>
      <c r="D6" s="20" t="s">
        <v>148</v>
      </c>
      <c r="E6" s="9" t="n">
        <v>2243</v>
      </c>
      <c r="F6" s="9" t="n">
        <v>175</v>
      </c>
      <c r="G6" s="22" t="n">
        <f aca="false">IFERROR(E6/F6*0+F6/E6,"")</f>
        <v>0.0780205082478823</v>
      </c>
      <c r="H6" s="9" t="n">
        <v>18578</v>
      </c>
      <c r="I6" s="9" t="n">
        <f aca="false">IFERROR(H6/F6,"")</f>
        <v>106.16</v>
      </c>
      <c r="J6" s="19" t="n">
        <v>212</v>
      </c>
    </row>
    <row r="7" customFormat="false" ht="15" hidden="false" customHeight="false" outlineLevel="0" collapsed="false">
      <c r="A7" s="11" t="s">
        <v>149</v>
      </c>
      <c r="B7" s="13" t="s">
        <v>150</v>
      </c>
      <c r="C7" s="13" t="s">
        <v>147</v>
      </c>
      <c r="D7" s="13" t="s">
        <v>144</v>
      </c>
      <c r="E7" s="6" t="n">
        <v>2072</v>
      </c>
      <c r="F7" s="6" t="n">
        <v>169</v>
      </c>
      <c r="G7" s="12" t="n">
        <f aca="false">IFERROR(E7/F7*0+F7/E7,"")</f>
        <v>0.0815637065637066</v>
      </c>
      <c r="H7" s="6" t="n">
        <v>32925</v>
      </c>
      <c r="I7" s="6" t="n">
        <f aca="false">IFERROR(H7/F7,"")</f>
        <v>194.822485207101</v>
      </c>
      <c r="J7" s="13" t="n">
        <v>206</v>
      </c>
    </row>
    <row r="8" customFormat="false" ht="15" hidden="false" customHeight="false" outlineLevel="0" collapsed="false">
      <c r="A8" s="18" t="s">
        <v>151</v>
      </c>
      <c r="B8" s="19" t="s">
        <v>152</v>
      </c>
      <c r="C8" s="19" t="s">
        <v>147</v>
      </c>
      <c r="D8" s="20" t="s">
        <v>153</v>
      </c>
      <c r="E8" s="9" t="n">
        <v>1890</v>
      </c>
      <c r="F8" s="9" t="n">
        <v>142</v>
      </c>
      <c r="G8" s="22" t="n">
        <f aca="false">IFERROR(E8/F8*0+F8/E8,"")</f>
        <v>0.0751322751322751</v>
      </c>
      <c r="H8" s="9" t="n">
        <v>16078</v>
      </c>
      <c r="I8" s="9" t="n">
        <f aca="false">IFERROR(H8/F8,"")</f>
        <v>113.225352112676</v>
      </c>
      <c r="J8" s="19" t="n">
        <v>158</v>
      </c>
    </row>
    <row r="9" customFormat="false" ht="15" hidden="false" customHeight="false" outlineLevel="0" collapsed="false">
      <c r="A9" s="5" t="s">
        <v>154</v>
      </c>
      <c r="B9" s="13" t="s">
        <v>155</v>
      </c>
      <c r="C9" s="13" t="s">
        <v>147</v>
      </c>
      <c r="D9" s="20" t="s">
        <v>148</v>
      </c>
      <c r="E9" s="6" t="n">
        <v>1398</v>
      </c>
      <c r="F9" s="6" t="n">
        <v>103</v>
      </c>
      <c r="G9" s="12" t="n">
        <f aca="false">IFERROR(E9/F9*0+F9/E9,"")</f>
        <v>0.0736766809728183</v>
      </c>
      <c r="H9" s="6" t="n">
        <v>11428</v>
      </c>
      <c r="I9" s="6" t="n">
        <f aca="false">IFERROR(H9/F9,"")</f>
        <v>110.95145631068</v>
      </c>
      <c r="J9" s="13" t="n">
        <v>129</v>
      </c>
    </row>
    <row r="10" customFormat="false" ht="15" hidden="false" customHeight="false" outlineLevel="0" collapsed="false">
      <c r="A10" s="8" t="s">
        <v>156</v>
      </c>
      <c r="B10" s="19" t="s">
        <v>157</v>
      </c>
      <c r="C10" s="19" t="s">
        <v>147</v>
      </c>
      <c r="D10" s="20" t="s">
        <v>153</v>
      </c>
      <c r="E10" s="9" t="n">
        <v>1370</v>
      </c>
      <c r="F10" s="9" t="n">
        <v>118</v>
      </c>
      <c r="G10" s="22" t="n">
        <f aca="false">IFERROR(E10/F10*0+F10/E10,"")</f>
        <v>0.0861313868613139</v>
      </c>
      <c r="H10" s="9" t="n">
        <v>11589</v>
      </c>
      <c r="I10" s="9" t="n">
        <f aca="false">IFERROR(H10/F10,"")</f>
        <v>98.2118644067797</v>
      </c>
      <c r="J10" s="19" t="n">
        <v>153</v>
      </c>
    </row>
    <row r="11" customFormat="false" ht="29.85" hidden="false" customHeight="false" outlineLevel="0" collapsed="false">
      <c r="A11" s="5" t="s">
        <v>158</v>
      </c>
      <c r="B11" s="13" t="s">
        <v>157</v>
      </c>
      <c r="C11" s="13" t="s">
        <v>147</v>
      </c>
      <c r="D11" s="20" t="s">
        <v>153</v>
      </c>
      <c r="E11" s="6" t="n">
        <v>873</v>
      </c>
      <c r="F11" s="6" t="n">
        <v>57</v>
      </c>
      <c r="G11" s="12" t="n">
        <f aca="false">IFERROR(E11/F11*0+F11/E11,"")</f>
        <v>0.0652920962199313</v>
      </c>
      <c r="H11" s="6" t="n">
        <v>6989</v>
      </c>
      <c r="I11" s="6" t="n">
        <f aca="false">IFERROR(H11/F11,"")</f>
        <v>122.614035087719</v>
      </c>
      <c r="J11" s="13" t="n">
        <v>59</v>
      </c>
    </row>
    <row r="12" customFormat="false" ht="15" hidden="false" customHeight="false" outlineLevel="0" collapsed="false">
      <c r="A12" s="8" t="s">
        <v>159</v>
      </c>
      <c r="B12" s="19" t="s">
        <v>155</v>
      </c>
      <c r="C12" s="19" t="s">
        <v>147</v>
      </c>
      <c r="D12" s="20" t="s">
        <v>148</v>
      </c>
      <c r="E12" s="9" t="n">
        <v>749</v>
      </c>
      <c r="F12" s="9" t="n">
        <v>64</v>
      </c>
      <c r="G12" s="22" t="n">
        <f aca="false">IFERROR(E12/F12*0+F12/E12,"")</f>
        <v>0.0854472630173565</v>
      </c>
      <c r="H12" s="9" t="n">
        <v>6249</v>
      </c>
      <c r="I12" s="9" t="n">
        <f aca="false">IFERROR(H12/F12,"")</f>
        <v>97.640625</v>
      </c>
      <c r="J12" s="19" t="n">
        <v>77</v>
      </c>
    </row>
    <row r="13" customFormat="false" ht="15" hidden="false" customHeight="false" outlineLevel="0" collapsed="false">
      <c r="A13" s="11" t="s">
        <v>160</v>
      </c>
      <c r="B13" s="13" t="s">
        <v>161</v>
      </c>
      <c r="C13" s="13" t="s">
        <v>147</v>
      </c>
      <c r="D13" s="13" t="s">
        <v>144</v>
      </c>
      <c r="E13" s="6" t="n">
        <v>321</v>
      </c>
      <c r="F13" s="6" t="n">
        <v>14</v>
      </c>
      <c r="G13" s="12" t="n">
        <f aca="false">IFERROR(E13/F13*0+F13/E13,"")</f>
        <v>0.043613707165109</v>
      </c>
      <c r="H13" s="6" t="n">
        <v>2590</v>
      </c>
      <c r="I13" s="6" t="n">
        <f aca="false">IFERROR(H13/F13,"")</f>
        <v>185</v>
      </c>
      <c r="J13" s="13" t="n">
        <v>14</v>
      </c>
    </row>
    <row r="14" customFormat="false" ht="15" hidden="false" customHeight="false" outlineLevel="0" collapsed="false">
      <c r="A14" s="18" t="s">
        <v>162</v>
      </c>
      <c r="B14" s="10" t="s">
        <v>163</v>
      </c>
      <c r="C14" s="19" t="s">
        <v>147</v>
      </c>
      <c r="D14" s="20" t="s">
        <v>153</v>
      </c>
      <c r="E14" s="9" t="n">
        <v>117</v>
      </c>
      <c r="F14" s="9" t="n">
        <v>1</v>
      </c>
      <c r="G14" s="22" t="n">
        <f aca="false">IFERROR(E14/F14*0+F14/E14,"")</f>
        <v>0.00854700854700855</v>
      </c>
      <c r="H14" s="9" t="n">
        <v>455</v>
      </c>
      <c r="I14" s="9" t="n">
        <f aca="false">IFERROR(H14/F14,"")</f>
        <v>455</v>
      </c>
      <c r="J14" s="19" t="n">
        <v>2</v>
      </c>
    </row>
    <row r="15" customFormat="false" ht="15" hidden="false" customHeight="false" outlineLevel="0" collapsed="false">
      <c r="A15" s="11" t="s">
        <v>164</v>
      </c>
      <c r="B15" s="13" t="s">
        <v>165</v>
      </c>
      <c r="C15" s="13" t="s">
        <v>143</v>
      </c>
      <c r="D15" s="20" t="s">
        <v>153</v>
      </c>
      <c r="E15" s="6" t="n">
        <v>117</v>
      </c>
      <c r="F15" s="6" t="n">
        <v>1</v>
      </c>
      <c r="G15" s="12" t="n">
        <f aca="false">IFERROR(E15/F15*0+F15/E15,"")</f>
        <v>0.00854700854700855</v>
      </c>
      <c r="H15" s="6" t="n">
        <v>455</v>
      </c>
      <c r="I15" s="6" t="n">
        <f aca="false">IFERROR(H15/F15,"")</f>
        <v>455</v>
      </c>
      <c r="J15" s="13" t="n">
        <v>2</v>
      </c>
    </row>
    <row r="17" customFormat="false" ht="15" hidden="false" customHeight="false" outlineLevel="0" collapsed="false">
      <c r="A17" s="26" t="s">
        <v>166</v>
      </c>
    </row>
    <row r="18" customFormat="false" ht="15" hidden="false" customHeight="false" outlineLevel="0" collapsed="false">
      <c r="A18" s="2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7" min="6" style="0" width="10"/>
  </cols>
  <sheetData>
    <row r="1" customFormat="false" ht="18.5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4" t="s">
        <v>170</v>
      </c>
      <c r="B4" s="4" t="s">
        <v>144</v>
      </c>
      <c r="C4" s="4" t="s">
        <v>148</v>
      </c>
      <c r="D4" s="4" t="s">
        <v>171</v>
      </c>
      <c r="E4" s="4" t="s">
        <v>172</v>
      </c>
      <c r="F4" s="4" t="s">
        <v>173</v>
      </c>
      <c r="G4" s="4" t="s">
        <v>174</v>
      </c>
    </row>
    <row r="5" customFormat="false" ht="15" hidden="false" customHeight="false" outlineLevel="0" collapsed="false">
      <c r="A5" s="40" t="s">
        <v>155</v>
      </c>
      <c r="B5" s="41" t="n">
        <v>0</v>
      </c>
      <c r="C5" s="41" t="n">
        <v>2</v>
      </c>
      <c r="D5" s="41" t="n">
        <v>13</v>
      </c>
      <c r="E5" s="41" t="n">
        <v>0</v>
      </c>
      <c r="F5" s="41" t="n">
        <v>15</v>
      </c>
      <c r="G5" s="20" t="s">
        <v>175</v>
      </c>
    </row>
    <row r="6" customFormat="false" ht="15" hidden="false" customHeight="false" outlineLevel="0" collapsed="false">
      <c r="A6" s="40" t="s">
        <v>146</v>
      </c>
      <c r="B6" s="41" t="n">
        <v>0</v>
      </c>
      <c r="C6" s="41" t="n">
        <v>1</v>
      </c>
      <c r="D6" s="41" t="n">
        <v>1</v>
      </c>
      <c r="E6" s="41" t="n">
        <v>0</v>
      </c>
      <c r="F6" s="41" t="n">
        <v>2</v>
      </c>
      <c r="G6" s="20" t="s">
        <v>175</v>
      </c>
    </row>
    <row r="7" customFormat="false" ht="15" hidden="false" customHeight="false" outlineLevel="0" collapsed="false">
      <c r="A7" s="5" t="s">
        <v>157</v>
      </c>
      <c r="B7" s="13" t="n">
        <v>2</v>
      </c>
      <c r="C7" s="13" t="n">
        <v>0</v>
      </c>
      <c r="D7" s="13" t="n">
        <v>2</v>
      </c>
      <c r="E7" s="13" t="n">
        <v>0</v>
      </c>
      <c r="F7" s="13" t="n">
        <v>4</v>
      </c>
      <c r="G7" s="14" t="s">
        <v>176</v>
      </c>
    </row>
    <row r="8" customFormat="false" ht="15" hidden="false" customHeight="false" outlineLevel="0" collapsed="false">
      <c r="A8" s="8" t="s">
        <v>177</v>
      </c>
      <c r="B8" s="19" t="n">
        <v>4</v>
      </c>
      <c r="C8" s="19" t="n">
        <v>0</v>
      </c>
      <c r="D8" s="19" t="n">
        <v>0</v>
      </c>
      <c r="E8" s="19" t="n">
        <v>0</v>
      </c>
      <c r="F8" s="19" t="n">
        <v>4</v>
      </c>
      <c r="G8" s="19" t="s">
        <v>178</v>
      </c>
    </row>
    <row r="9" customFormat="false" ht="15" hidden="false" customHeight="false" outlineLevel="0" collapsed="false">
      <c r="A9" s="5" t="s">
        <v>179</v>
      </c>
      <c r="B9" s="13" t="n">
        <v>0</v>
      </c>
      <c r="C9" s="13" t="n">
        <v>4</v>
      </c>
      <c r="D9" s="13" t="n">
        <v>0</v>
      </c>
      <c r="E9" s="13" t="n">
        <v>0</v>
      </c>
      <c r="F9" s="13" t="n">
        <v>4</v>
      </c>
      <c r="G9" s="13" t="s">
        <v>178</v>
      </c>
    </row>
    <row r="10" customFormat="false" ht="15" hidden="false" customHeight="false" outlineLevel="0" collapsed="false">
      <c r="A10" s="8" t="s">
        <v>180</v>
      </c>
      <c r="B10" s="19" t="n">
        <v>0</v>
      </c>
      <c r="C10" s="19" t="n">
        <v>4</v>
      </c>
      <c r="D10" s="19" t="n">
        <v>0</v>
      </c>
      <c r="E10" s="19" t="n">
        <v>0</v>
      </c>
      <c r="F10" s="19" t="n">
        <v>4</v>
      </c>
      <c r="G10" s="19" t="s">
        <v>178</v>
      </c>
    </row>
    <row r="11" customFormat="false" ht="15" hidden="false" customHeight="false" outlineLevel="0" collapsed="false">
      <c r="A11" s="5" t="s">
        <v>142</v>
      </c>
      <c r="B11" s="13" t="n">
        <v>3</v>
      </c>
      <c r="C11" s="13" t="n">
        <v>0</v>
      </c>
      <c r="D11" s="13" t="n">
        <v>0</v>
      </c>
      <c r="E11" s="13" t="n">
        <v>0</v>
      </c>
      <c r="F11" s="13" t="n">
        <v>3</v>
      </c>
      <c r="G11" s="13" t="s">
        <v>178</v>
      </c>
    </row>
    <row r="12" customFormat="false" ht="29.85" hidden="false" customHeight="false" outlineLevel="0" collapsed="false">
      <c r="A12" s="8" t="s">
        <v>150</v>
      </c>
      <c r="B12" s="19" t="n">
        <v>1</v>
      </c>
      <c r="C12" s="19" t="n">
        <v>0</v>
      </c>
      <c r="D12" s="19" t="n">
        <v>0</v>
      </c>
      <c r="E12" s="19" t="n">
        <v>0</v>
      </c>
      <c r="F12" s="19" t="n">
        <v>1</v>
      </c>
      <c r="G12" s="19" t="s">
        <v>178</v>
      </c>
    </row>
    <row r="13" customFormat="false" ht="29.85" hidden="false" customHeight="false" outlineLevel="0" collapsed="false">
      <c r="A13" s="5" t="s">
        <v>161</v>
      </c>
      <c r="B13" s="13" t="n">
        <v>1</v>
      </c>
      <c r="C13" s="13" t="n">
        <v>0</v>
      </c>
      <c r="D13" s="13" t="n">
        <v>0</v>
      </c>
      <c r="E13" s="13" t="n">
        <v>0</v>
      </c>
      <c r="F13" s="13" t="n">
        <v>1</v>
      </c>
      <c r="G13" s="13" t="s">
        <v>178</v>
      </c>
    </row>
    <row r="14" customFormat="false" ht="15" hidden="false" customHeight="false" outlineLevel="0" collapsed="false">
      <c r="A14" s="8" t="s">
        <v>181</v>
      </c>
      <c r="B14" s="19" t="n">
        <v>0</v>
      </c>
      <c r="C14" s="19" t="n">
        <v>0</v>
      </c>
      <c r="D14" s="19" t="n">
        <v>1</v>
      </c>
      <c r="E14" s="19" t="n">
        <v>0</v>
      </c>
      <c r="F14" s="19" t="n">
        <v>1</v>
      </c>
      <c r="G14" s="14" t="s">
        <v>176</v>
      </c>
    </row>
    <row r="15" customFormat="false" ht="15" hidden="false" customHeight="false" outlineLevel="0" collapsed="false">
      <c r="A15" s="5" t="s">
        <v>165</v>
      </c>
      <c r="B15" s="13" t="n">
        <v>0</v>
      </c>
      <c r="C15" s="13" t="n">
        <v>0</v>
      </c>
      <c r="D15" s="13" t="n">
        <v>0</v>
      </c>
      <c r="E15" s="13" t="n">
        <v>1</v>
      </c>
      <c r="F15" s="13" t="n">
        <v>1</v>
      </c>
      <c r="G15" s="13" t="s">
        <v>178</v>
      </c>
    </row>
    <row r="17" customFormat="false" ht="17.15" hidden="false" customHeight="false" outlineLevel="0" collapsed="false">
      <c r="A17" s="3" t="s">
        <v>182</v>
      </c>
    </row>
    <row r="18" customFormat="false" ht="15" hidden="false" customHeight="false" outlineLevel="0" collapsed="false">
      <c r="A18" s="42" t="s">
        <v>183</v>
      </c>
    </row>
    <row r="20" customFormat="false" ht="19.4" hidden="false" customHeight="false" outlineLevel="0" collapsed="false">
      <c r="A20" s="23" t="s">
        <v>184</v>
      </c>
    </row>
    <row r="21" customFormat="false" ht="15" hidden="false" customHeight="false" outlineLevel="0" collapsed="false">
      <c r="A21" s="4" t="s">
        <v>185</v>
      </c>
      <c r="B21" s="4" t="s">
        <v>186</v>
      </c>
      <c r="C21" s="4" t="s">
        <v>187</v>
      </c>
    </row>
    <row r="22" customFormat="false" ht="15" hidden="false" customHeight="false" outlineLevel="0" collapsed="false">
      <c r="A22" s="11" t="s">
        <v>188</v>
      </c>
      <c r="B22" s="13" t="s">
        <v>189</v>
      </c>
      <c r="C22" s="13" t="s">
        <v>190</v>
      </c>
    </row>
    <row r="23" customFormat="false" ht="15" hidden="false" customHeight="false" outlineLevel="0" collapsed="false">
      <c r="A23" s="18" t="s">
        <v>191</v>
      </c>
      <c r="B23" s="10" t="s">
        <v>192</v>
      </c>
      <c r="C23" s="19" t="s">
        <v>193</v>
      </c>
    </row>
    <row r="24" customFormat="false" ht="15" hidden="false" customHeight="false" outlineLevel="0" collapsed="false">
      <c r="A24" s="11" t="s">
        <v>194</v>
      </c>
      <c r="B24" s="7" t="s">
        <v>195</v>
      </c>
      <c r="C24" s="13" t="s">
        <v>196</v>
      </c>
    </row>
    <row r="25" customFormat="false" ht="15" hidden="false" customHeight="false" outlineLevel="0" collapsed="false">
      <c r="A25" s="18" t="s">
        <v>197</v>
      </c>
      <c r="B25" s="10" t="s">
        <v>198</v>
      </c>
      <c r="C25" s="19" t="s">
        <v>199</v>
      </c>
    </row>
    <row r="26" customFormat="false" ht="15" hidden="false" customHeight="false" outlineLevel="0" collapsed="false">
      <c r="A26" s="11" t="s">
        <v>200</v>
      </c>
      <c r="B26" s="13" t="s">
        <v>201</v>
      </c>
      <c r="C26" s="13" t="s">
        <v>202</v>
      </c>
    </row>
    <row r="28" customFormat="false" ht="15" hidden="false" customHeight="false" outlineLevel="0" collapsed="false">
      <c r="A28" s="39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10"/>
  </cols>
  <sheetData>
    <row r="1" customFormat="false" ht="18.5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4" t="s">
        <v>206</v>
      </c>
      <c r="B4" s="4" t="s">
        <v>137</v>
      </c>
      <c r="C4" s="4" t="s">
        <v>62</v>
      </c>
      <c r="D4" s="4" t="s">
        <v>64</v>
      </c>
      <c r="E4" s="31" t="s">
        <v>11</v>
      </c>
    </row>
    <row r="5" customFormat="false" ht="44" hidden="false" customHeight="false" outlineLevel="0" collapsed="false">
      <c r="A5" s="43" t="s">
        <v>156</v>
      </c>
      <c r="B5" s="13" t="s">
        <v>157</v>
      </c>
      <c r="C5" s="6" t="n">
        <v>1370</v>
      </c>
      <c r="D5" s="6" t="n">
        <v>118</v>
      </c>
      <c r="E5" s="12" t="n">
        <f aca="false">IFERROR(D5/C5,"")</f>
        <v>0.0861313868613139</v>
      </c>
    </row>
    <row r="6" customFormat="false" ht="44" hidden="false" customHeight="false" outlineLevel="0" collapsed="false">
      <c r="A6" s="43" t="s">
        <v>158</v>
      </c>
      <c r="B6" s="19" t="s">
        <v>157</v>
      </c>
      <c r="C6" s="9" t="n">
        <v>873</v>
      </c>
      <c r="D6" s="9" t="n">
        <v>57</v>
      </c>
      <c r="E6" s="22" t="n">
        <f aca="false">IFERROR(D6/C6,"")</f>
        <v>0.0652920962199313</v>
      </c>
    </row>
    <row r="7" customFormat="false" ht="29.85" hidden="false" customHeight="false" outlineLevel="0" collapsed="false">
      <c r="A7" s="43" t="s">
        <v>145</v>
      </c>
      <c r="B7" s="13" t="s">
        <v>146</v>
      </c>
      <c r="C7" s="6" t="n">
        <v>2243</v>
      </c>
      <c r="D7" s="6" t="n">
        <v>175</v>
      </c>
      <c r="E7" s="12" t="n">
        <f aca="false">IFERROR(D7/C7,"")</f>
        <v>0.0780205082478823</v>
      </c>
    </row>
    <row r="8" customFormat="false" ht="15" hidden="false" customHeight="false" outlineLevel="0" collapsed="false">
      <c r="A8" s="43" t="s">
        <v>154</v>
      </c>
      <c r="B8" s="19" t="s">
        <v>155</v>
      </c>
      <c r="C8" s="9" t="n">
        <v>1398</v>
      </c>
      <c r="D8" s="9" t="n">
        <v>103</v>
      </c>
      <c r="E8" s="22" t="n">
        <f aca="false">IFERROR(D8/C8,"")</f>
        <v>0.0736766809728183</v>
      </c>
    </row>
    <row r="9" customFormat="false" ht="15" hidden="false" customHeight="false" outlineLevel="0" collapsed="false">
      <c r="A9" s="43" t="s">
        <v>159</v>
      </c>
      <c r="B9" s="13" t="s">
        <v>155</v>
      </c>
      <c r="C9" s="6" t="n">
        <v>749</v>
      </c>
      <c r="D9" s="6" t="n">
        <v>64</v>
      </c>
      <c r="E9" s="12" t="n">
        <f aca="false">IFERROR(D9/C9,"")</f>
        <v>0.0854472630173565</v>
      </c>
    </row>
    <row r="12" customFormat="false" ht="15" hidden="false" customHeight="false" outlineLevel="0" collapsed="false">
      <c r="A12" s="23" t="s">
        <v>207</v>
      </c>
    </row>
    <row r="13" customFormat="false" ht="15" hidden="false" customHeight="false" outlineLevel="0" collapsed="false">
      <c r="A13" s="4" t="s">
        <v>208</v>
      </c>
      <c r="B13" s="4" t="s">
        <v>209</v>
      </c>
      <c r="C13" s="4" t="s">
        <v>210</v>
      </c>
      <c r="D13" s="4" t="s">
        <v>209</v>
      </c>
    </row>
    <row r="14" customFormat="false" ht="15" hidden="false" customHeight="false" outlineLevel="0" collapsed="false">
      <c r="A14" s="5" t="s">
        <v>211</v>
      </c>
      <c r="B14" s="13" t="s">
        <v>212</v>
      </c>
      <c r="C14" s="13" t="s">
        <v>213</v>
      </c>
      <c r="D14" s="13" t="s">
        <v>214</v>
      </c>
    </row>
    <row r="15" customFormat="false" ht="15" hidden="false" customHeight="false" outlineLevel="0" collapsed="false">
      <c r="A15" s="8" t="s">
        <v>215</v>
      </c>
      <c r="B15" s="19" t="s">
        <v>216</v>
      </c>
      <c r="C15" s="19" t="s">
        <v>217</v>
      </c>
      <c r="D15" s="19" t="s">
        <v>218</v>
      </c>
    </row>
    <row r="16" customFormat="false" ht="15" hidden="false" customHeight="false" outlineLevel="0" collapsed="false">
      <c r="A16" s="5" t="s">
        <v>219</v>
      </c>
      <c r="B16" s="13" t="s">
        <v>220</v>
      </c>
      <c r="C16" s="13" t="s">
        <v>221</v>
      </c>
      <c r="D16" s="7" t="s">
        <v>222</v>
      </c>
    </row>
    <row r="17" customFormat="false" ht="15" hidden="false" customHeight="false" outlineLevel="0" collapsed="false">
      <c r="A17" s="8" t="s">
        <v>223</v>
      </c>
      <c r="B17" s="10" t="s">
        <v>224</v>
      </c>
      <c r="C17" s="19" t="s">
        <v>225</v>
      </c>
      <c r="D17" s="19" t="s">
        <v>226</v>
      </c>
    </row>
    <row r="19" customFormat="false" ht="15" hidden="false" customHeight="false" outlineLevel="0" collapsed="false">
      <c r="A19" s="26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18.55" hidden="false" customHeight="false" outlineLevel="0" collapsed="false">
      <c r="A1" s="1" t="s">
        <v>228</v>
      </c>
    </row>
    <row r="4" customFormat="false" ht="15" hidden="false" customHeight="false" outlineLevel="0" collapsed="false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</row>
    <row r="5" customFormat="false" ht="15" hidden="false" customHeight="false" outlineLevel="0" collapsed="false">
      <c r="A5" s="44" t="n">
        <v>1</v>
      </c>
      <c r="B5" s="13" t="s">
        <v>234</v>
      </c>
      <c r="C5" s="5" t="s">
        <v>235</v>
      </c>
      <c r="D5" s="5" t="s">
        <v>236</v>
      </c>
      <c r="E5" s="13" t="s">
        <v>237</v>
      </c>
    </row>
    <row r="6" customFormat="false" ht="15" hidden="false" customHeight="false" outlineLevel="0" collapsed="false">
      <c r="A6" s="44" t="n">
        <v>2</v>
      </c>
      <c r="B6" s="19" t="s">
        <v>234</v>
      </c>
      <c r="C6" s="8" t="s">
        <v>238</v>
      </c>
      <c r="D6" s="8" t="s">
        <v>239</v>
      </c>
      <c r="E6" s="19" t="s">
        <v>240</v>
      </c>
    </row>
    <row r="7" customFormat="false" ht="15" hidden="false" customHeight="false" outlineLevel="0" collapsed="false">
      <c r="A7" s="44" t="n">
        <v>3</v>
      </c>
      <c r="B7" s="13" t="s">
        <v>234</v>
      </c>
      <c r="C7" s="5" t="s">
        <v>241</v>
      </c>
      <c r="D7" s="5" t="s">
        <v>242</v>
      </c>
      <c r="E7" s="7" t="s">
        <v>243</v>
      </c>
    </row>
    <row r="8" customFormat="false" ht="15" hidden="false" customHeight="false" outlineLevel="0" collapsed="false">
      <c r="A8" s="8" t="n">
        <v>4</v>
      </c>
      <c r="B8" s="10" t="s">
        <v>244</v>
      </c>
      <c r="C8" s="8" t="s">
        <v>245</v>
      </c>
      <c r="D8" s="18" t="s">
        <v>246</v>
      </c>
      <c r="E8" s="10" t="s">
        <v>247</v>
      </c>
    </row>
    <row r="9" customFormat="false" ht="15" hidden="false" customHeight="false" outlineLevel="0" collapsed="false">
      <c r="A9" s="5" t="n">
        <v>5</v>
      </c>
      <c r="B9" s="7" t="s">
        <v>244</v>
      </c>
      <c r="C9" s="11" t="s">
        <v>248</v>
      </c>
      <c r="D9" s="5" t="s">
        <v>249</v>
      </c>
      <c r="E9" s="13" t="s">
        <v>250</v>
      </c>
    </row>
    <row r="10" customFormat="false" ht="29.85" hidden="false" customHeight="false" outlineLevel="0" collapsed="false">
      <c r="A10" s="8" t="n">
        <v>6</v>
      </c>
      <c r="B10" s="10" t="s">
        <v>244</v>
      </c>
      <c r="C10" s="18" t="s">
        <v>251</v>
      </c>
      <c r="D10" s="18" t="s">
        <v>252</v>
      </c>
      <c r="E10" s="19" t="s">
        <v>253</v>
      </c>
    </row>
    <row r="11" customFormat="false" ht="15" hidden="false" customHeight="false" outlineLevel="0" collapsed="false">
      <c r="A11" s="5" t="n">
        <v>7</v>
      </c>
      <c r="B11" s="13" t="s">
        <v>254</v>
      </c>
      <c r="C11" s="5" t="s">
        <v>255</v>
      </c>
      <c r="D11" s="11" t="s">
        <v>256</v>
      </c>
      <c r="E11" s="13" t="s">
        <v>257</v>
      </c>
    </row>
    <row r="12" customFormat="false" ht="15" hidden="false" customHeight="false" outlineLevel="0" collapsed="false">
      <c r="A12" s="8" t="n">
        <v>8</v>
      </c>
      <c r="B12" s="19" t="s">
        <v>258</v>
      </c>
      <c r="C12" s="8" t="s">
        <v>259</v>
      </c>
      <c r="D12" s="8" t="s">
        <v>260</v>
      </c>
      <c r="E12" s="19" t="s">
        <v>261</v>
      </c>
    </row>
    <row r="15" customFormat="false" ht="15" hidden="false" customHeight="false" outlineLevel="0" collapsed="false">
      <c r="A15" s="23" t="s">
        <v>262</v>
      </c>
    </row>
    <row r="16" customFormat="false" ht="15" hidden="false" customHeight="false" outlineLevel="0" collapsed="false">
      <c r="A16" s="27" t="s">
        <v>263</v>
      </c>
    </row>
    <row r="17" customFormat="false" ht="15" hidden="false" customHeight="false" outlineLevel="0" collapsed="false">
      <c r="A17" s="42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265</v>
      </c>
    </row>
    <row r="4" customFormat="false" ht="15" hidden="false" customHeight="false" outlineLevel="0" collapsed="false">
      <c r="A4" s="4" t="s">
        <v>266</v>
      </c>
      <c r="B4" s="4" t="s">
        <v>267</v>
      </c>
    </row>
    <row r="5" customFormat="false" ht="15" hidden="false" customHeight="false" outlineLevel="0" collapsed="false">
      <c r="A5" s="5" t="s">
        <v>268</v>
      </c>
      <c r="B5" s="5" t="s">
        <v>269</v>
      </c>
    </row>
    <row r="6" customFormat="false" ht="15" hidden="false" customHeight="false" outlineLevel="0" collapsed="false">
      <c r="A6" s="18" t="s">
        <v>270</v>
      </c>
      <c r="B6" s="18" t="s">
        <v>271</v>
      </c>
    </row>
    <row r="7" customFormat="false" ht="15" hidden="false" customHeight="false" outlineLevel="0" collapsed="false">
      <c r="A7" s="5" t="s">
        <v>272</v>
      </c>
      <c r="B7" s="5" t="s">
        <v>273</v>
      </c>
    </row>
    <row r="8" customFormat="false" ht="15" hidden="false" customHeight="false" outlineLevel="0" collapsed="false">
      <c r="A8" s="8" t="s">
        <v>274</v>
      </c>
      <c r="B8" s="18" t="s">
        <v>275</v>
      </c>
    </row>
    <row r="9" customFormat="false" ht="15" hidden="false" customHeight="false" outlineLevel="0" collapsed="false">
      <c r="A9" s="11" t="s">
        <v>276</v>
      </c>
      <c r="B9" s="11" t="s">
        <v>277</v>
      </c>
    </row>
    <row r="10" customFormat="false" ht="15" hidden="false" customHeight="false" outlineLevel="0" collapsed="false">
      <c r="A10" s="8" t="s">
        <v>278</v>
      </c>
      <c r="B10" s="8" t="s">
        <v>279</v>
      </c>
    </row>
    <row r="11" customFormat="false" ht="15" hidden="false" customHeight="false" outlineLevel="0" collapsed="false">
      <c r="A11" s="5" t="s">
        <v>280</v>
      </c>
      <c r="B11" s="5" t="s">
        <v>281</v>
      </c>
    </row>
    <row r="12" customFormat="false" ht="15" hidden="false" customHeight="false" outlineLevel="0" collapsed="false">
      <c r="A12" s="8" t="s">
        <v>282</v>
      </c>
      <c r="B12" s="18" t="s">
        <v>283</v>
      </c>
    </row>
    <row r="13" customFormat="false" ht="15" hidden="false" customHeight="false" outlineLevel="0" collapsed="false">
      <c r="A13" s="11" t="s">
        <v>284</v>
      </c>
      <c r="B13" s="11" t="s">
        <v>285</v>
      </c>
    </row>
    <row r="14" customFormat="false" ht="15" hidden="false" customHeight="false" outlineLevel="0" collapsed="false">
      <c r="A14" s="8" t="s">
        <v>286</v>
      </c>
      <c r="B14" s="8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2026-08-12T13:48:32Z</dcterms:created>
  <dc:creator>openpyxl</dc:creator>
  <dc:description/>
  <dc:language>en-US</dc:language>
  <cp:lastModifiedBy/>
  <dcterms:modified xsi:type="dcterms:W3CDTF">2026-08-12T22:48:37Z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